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akob\Downloads\"/>
    </mc:Choice>
  </mc:AlternateContent>
  <xr:revisionPtr revIDLastSave="0" documentId="13_ncr:1_{47EF76BA-2DE8-4779-9E0E-9E2AE8CED340}" xr6:coauthVersionLast="47" xr6:coauthVersionMax="47" xr10:uidLastSave="{00000000-0000-0000-0000-000000000000}"/>
  <bookViews>
    <workbookView xWindow="-120" yWindow="-120" windowWidth="29040" windowHeight="15720" activeTab="2" xr2:uid="{5804B840-4EC9-41DF-8771-0BC697DDD792}"/>
  </bookViews>
  <sheets>
    <sheet name="criticality" sheetId="1" r:id="rId1"/>
    <sheet name="Criticality Matrix" sheetId="7" r:id="rId2"/>
    <sheet name="hierarchy" sheetId="8" r:id="rId3"/>
    <sheet name="FMEA" sheetId="2" r:id="rId4"/>
    <sheet name="Task Header" sheetId="3" r:id="rId5"/>
    <sheet name="Task Operations" sheetId="4" r:id="rId6"/>
    <sheet name="FMEA RPN Scoring and Lookup"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9" i="2" l="1"/>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5" i="2"/>
  <c r="R4" i="2"/>
  <c r="R3" i="2"/>
  <c r="R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Lee Fitzmaurice</author>
  </authors>
  <commentList>
    <comment ref="AQ1" authorId="0" shapeId="0" xr:uid="{0BB25BF5-DF0B-48E4-AD92-DDF9540978EF}">
      <text>
        <r>
          <rPr>
            <b/>
            <sz val="9"/>
            <color rgb="FF000000"/>
            <rFont val="Tahoma"/>
            <family val="2"/>
          </rPr>
          <t>Lee Fitzmaurice:</t>
        </r>
        <r>
          <rPr>
            <sz val="9"/>
            <color rgb="FF000000"/>
            <rFont val="Tahoma"/>
            <family val="2"/>
          </rPr>
          <t xml:space="preserve">
</t>
        </r>
        <r>
          <rPr>
            <sz val="9"/>
            <color rgb="FF000000"/>
            <rFont val="Tahoma"/>
            <family val="2"/>
          </rPr>
          <t>=VLOOKUP([@[PROD Lik.]]&amp;[@[PROD Cons.]],Table1[[Concat]:[Outcome]],2,FALSE)</t>
        </r>
      </text>
    </comment>
    <comment ref="AR1" authorId="0" shapeId="0" xr:uid="{107086AD-28DE-40D1-B945-DE601478CB96}">
      <text>
        <r>
          <rPr>
            <b/>
            <sz val="9"/>
            <color indexed="81"/>
            <rFont val="Tahoma"/>
            <family val="2"/>
          </rPr>
          <t>Lee Fitzmaurice:</t>
        </r>
        <r>
          <rPr>
            <sz val="9"/>
            <color indexed="81"/>
            <rFont val="Tahoma"/>
            <family val="2"/>
          </rPr>
          <t xml:space="preserve">
=IF(LEFT([@[PROD BU Review]],1)="9","0 N",[@[PROD Crit. Asses.]])</t>
        </r>
      </text>
    </comment>
    <comment ref="AX1" authorId="0" shapeId="0" xr:uid="{6D56C0A3-D183-47DB-BE14-D5E6D371F03F}">
      <text>
        <r>
          <rPr>
            <b/>
            <sz val="9"/>
            <color indexed="81"/>
            <rFont val="Tahoma"/>
            <family val="2"/>
          </rPr>
          <t>Lee Fitzmaurice:</t>
        </r>
        <r>
          <rPr>
            <sz val="9"/>
            <color indexed="81"/>
            <rFont val="Tahoma"/>
            <family val="2"/>
          </rPr>
          <t xml:space="preserve">
=IFERROR(VLOOKUP(LEFT([@EQUIPMENT],4),Table11,2,FALSE),"???")</t>
        </r>
      </text>
    </comment>
    <comment ref="AY1" authorId="0" shapeId="0" xr:uid="{9747B2E2-E17C-4ED5-9A66-769E92D1EB3E}">
      <text>
        <r>
          <rPr>
            <b/>
            <sz val="9"/>
            <color indexed="81"/>
            <rFont val="Tahoma"/>
            <family val="2"/>
          </rPr>
          <t>Lee Fitzmaurice:</t>
        </r>
        <r>
          <rPr>
            <sz val="9"/>
            <color indexed="81"/>
            <rFont val="Tahoma"/>
            <family val="2"/>
          </rPr>
          <t xml:space="preserve">
=IFERROR(VLOOKUP(LEFT([@EQUIPMENT],4),Table11,3,FALSE),"???")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Jakob Verhoef</author>
  </authors>
  <commentList>
    <comment ref="O1" authorId="0" shapeId="0" xr:uid="{B816411E-F87A-423F-8CA4-04BBD31E6AB7}">
      <text>
        <r>
          <rPr>
            <b/>
            <sz val="9"/>
            <color indexed="81"/>
            <rFont val="Tahoma"/>
            <family val="2"/>
          </rPr>
          <t>Jakob Verhoef:</t>
        </r>
        <r>
          <rPr>
            <sz val="9"/>
            <color indexed="81"/>
            <rFont val="Tahoma"/>
            <family val="2"/>
          </rPr>
          <t xml:space="preserve">
See Scoring Tab</t>
        </r>
      </text>
    </comment>
    <comment ref="P1" authorId="0" shapeId="0" xr:uid="{E97C13A3-3A3B-4970-957C-E2D80060D285}">
      <text>
        <r>
          <rPr>
            <b/>
            <sz val="9"/>
            <color indexed="81"/>
            <rFont val="Tahoma"/>
            <family val="2"/>
          </rPr>
          <t>Jakob Verhoef:</t>
        </r>
        <r>
          <rPr>
            <sz val="9"/>
            <color indexed="81"/>
            <rFont val="Tahoma"/>
            <family val="2"/>
          </rPr>
          <t xml:space="preserve">
See Scoring Tab</t>
        </r>
      </text>
    </comment>
    <comment ref="Q1" authorId="0" shapeId="0" xr:uid="{5302A233-5AC3-4CB7-96AF-AADA8DAF8B80}">
      <text>
        <r>
          <rPr>
            <b/>
            <sz val="9"/>
            <color indexed="81"/>
            <rFont val="Tahoma"/>
            <family val="2"/>
          </rPr>
          <t>Jakob Verhoef:</t>
        </r>
        <r>
          <rPr>
            <sz val="9"/>
            <color indexed="81"/>
            <rFont val="Tahoma"/>
            <family val="2"/>
          </rPr>
          <t xml:space="preserve">
See Scoring Tab</t>
        </r>
      </text>
    </comment>
  </commentList>
</comments>
</file>

<file path=xl/sharedStrings.xml><?xml version="1.0" encoding="utf-8"?>
<sst xmlns="http://schemas.openxmlformats.org/spreadsheetml/2006/main" count="2402" uniqueCount="1114">
  <si>
    <t>Original Sort</t>
  </si>
  <si>
    <t>Source</t>
  </si>
  <si>
    <t>Duplicate Equipment</t>
  </si>
  <si>
    <t>EQUIPMENT</t>
  </si>
  <si>
    <t>ASSET_ID</t>
  </si>
  <si>
    <t>EQUIPMENT_DESCRIPTION</t>
  </si>
  <si>
    <t>PROC_CODE</t>
  </si>
  <si>
    <t>P_FAM</t>
  </si>
  <si>
    <t>P_Mod</t>
  </si>
  <si>
    <t>JDE_Crit</t>
  </si>
  <si>
    <t>EQ_Stat</t>
  </si>
  <si>
    <t>Project</t>
  </si>
  <si>
    <t>PROD BU Review</t>
  </si>
  <si>
    <t>CO</t>
  </si>
  <si>
    <t>SC</t>
  </si>
  <si>
    <t>BAR</t>
  </si>
  <si>
    <t>SIF</t>
  </si>
  <si>
    <t>BMS</t>
  </si>
  <si>
    <t>HAZ</t>
  </si>
  <si>
    <t>VOLT</t>
  </si>
  <si>
    <t>GAS</t>
  </si>
  <si>
    <t>EEHA</t>
  </si>
  <si>
    <t>MECH</t>
  </si>
  <si>
    <t>ELECT</t>
  </si>
  <si>
    <t>ENV</t>
  </si>
  <si>
    <t>H&amp;S Lik.</t>
  </si>
  <si>
    <t>H&amp;S Cons.</t>
  </si>
  <si>
    <t>H&amp;S Crit. Asses.</t>
  </si>
  <si>
    <t>H&amp;S Crit. Rules.</t>
  </si>
  <si>
    <t>H&amp;S Crit. Final Num.</t>
  </si>
  <si>
    <t>ENV Lik.</t>
  </si>
  <si>
    <t>ENV Cons.</t>
  </si>
  <si>
    <t>ENV Crit. Asses.</t>
  </si>
  <si>
    <t>ENV Crit. Rules.</t>
  </si>
  <si>
    <t>ENV Crit. Final Num.</t>
  </si>
  <si>
    <t>CO Lik.</t>
  </si>
  <si>
    <t>CO Cons.</t>
  </si>
  <si>
    <t>CO Crit. Asses.</t>
  </si>
  <si>
    <t>CO Crit. Rules.</t>
  </si>
  <si>
    <t>CO Crit. Final Num.</t>
  </si>
  <si>
    <t>PROD Lik.</t>
  </si>
  <si>
    <t>PROD Cons.</t>
  </si>
  <si>
    <t>PROD Crit. Asses.</t>
  </si>
  <si>
    <t>PROD Crit. Rules.</t>
  </si>
  <si>
    <t>PROD Crit. Final Num.</t>
  </si>
  <si>
    <t>Highest  Crit.</t>
  </si>
  <si>
    <t>Overall ABC</t>
  </si>
  <si>
    <t>JDE Crit Equiv.</t>
  </si>
  <si>
    <t>Comments</t>
  </si>
  <si>
    <t>Plant</t>
  </si>
  <si>
    <t>Grouping</t>
  </si>
  <si>
    <t>JDE Data 20251105</t>
  </si>
  <si>
    <t>1346RO0401</t>
  </si>
  <si>
    <t>Flow Orifice T0364 Overflow #1</t>
  </si>
  <si>
    <t>UAN</t>
  </si>
  <si>
    <t>VRE</t>
  </si>
  <si>
    <t>MVAR</t>
  </si>
  <si>
    <t>DF</t>
  </si>
  <si>
    <t>Geraldton Liquid Ferts</t>
  </si>
  <si>
    <t>2 Assessed by Consultant</t>
  </si>
  <si>
    <t/>
  </si>
  <si>
    <t>D</t>
  </si>
  <si>
    <t>1</t>
  </si>
  <si>
    <t>1 L</t>
  </si>
  <si>
    <t>E</t>
  </si>
  <si>
    <t>LOW</t>
  </si>
  <si>
    <t>Geraldton - Liquid Fert</t>
  </si>
  <si>
    <t>FERTS - Regional</t>
  </si>
  <si>
    <t>1346RO0402</t>
  </si>
  <si>
    <t>Flow Orifice T0364 Overflow #2</t>
  </si>
  <si>
    <t>1346RO0403</t>
  </si>
  <si>
    <t>Flow Orifice T0364 Overflow #3</t>
  </si>
  <si>
    <t>1346RO0404</t>
  </si>
  <si>
    <t>Flow Orifice T0365 Overflow #1</t>
  </si>
  <si>
    <t>1346RO0405</t>
  </si>
  <si>
    <t>Flow Orifice T0365 Overflow #2</t>
  </si>
  <si>
    <t>1346RO0406</t>
  </si>
  <si>
    <t>Flow Orifice T0365 Overflow #3</t>
  </si>
  <si>
    <t>1346RO0407</t>
  </si>
  <si>
    <t>Flow Orifice T0366 Overflow #1</t>
  </si>
  <si>
    <t>1346RO0408</t>
  </si>
  <si>
    <t>1346T0364</t>
  </si>
  <si>
    <t>Tank UAN Flexitank Storage #1</t>
  </si>
  <si>
    <t>TNK</t>
  </si>
  <si>
    <t>CBDS</t>
  </si>
  <si>
    <t>FU</t>
  </si>
  <si>
    <t>3 Reviewed by BU</t>
  </si>
  <si>
    <t>3</t>
  </si>
  <si>
    <t xml:space="preserve">Failure of bladder - causing delays (very unlikely) Have redundancy and can continue loading if no damage or risk </t>
  </si>
  <si>
    <t>1346T0365</t>
  </si>
  <si>
    <t>Tank UAN Flexitank Storage #2</t>
  </si>
  <si>
    <t>1346T0366</t>
  </si>
  <si>
    <t>Tank UAN Flexitank Storage #3</t>
  </si>
  <si>
    <t>1346T0367</t>
  </si>
  <si>
    <t>Tank UAN Flexitank Storage #4</t>
  </si>
  <si>
    <t>1346W0241</t>
  </si>
  <si>
    <t>Valve Isolation UAN U/S Of Bund Wall</t>
  </si>
  <si>
    <t>VMA</t>
  </si>
  <si>
    <t>MVAM</t>
  </si>
  <si>
    <t>NOT</t>
  </si>
  <si>
    <t>1346W0242</t>
  </si>
  <si>
    <t>Valve Drain UAN U/S Of Bund Wall</t>
  </si>
  <si>
    <t>1346W0401</t>
  </si>
  <si>
    <t>Valve Isolation UAN Supply To Flexitanks</t>
  </si>
  <si>
    <t>MED</t>
  </si>
  <si>
    <t>AV</t>
  </si>
  <si>
    <t>1346W0402</t>
  </si>
  <si>
    <t>Valve Drain UAN Flexitank Supply Line</t>
  </si>
  <si>
    <t>1346W0403</t>
  </si>
  <si>
    <t>Issued - Not used</t>
  </si>
  <si>
    <t>1346W0404</t>
  </si>
  <si>
    <t>Valve Isolation UAN Supply To Flexitank #1 Manfld End</t>
  </si>
  <si>
    <t>1346W0405</t>
  </si>
  <si>
    <t>Valve Isolation UAN Supply To Flexitank #1 Tank End</t>
  </si>
  <si>
    <t>1346W0406</t>
  </si>
  <si>
    <t>Valve Isolation UAN Supply To Flexitank #2 Manfld End</t>
  </si>
  <si>
    <t>1346W0407</t>
  </si>
  <si>
    <t>Valve Isolation UAN Supply To Flexitank #2 Tank End</t>
  </si>
  <si>
    <t>Equipment</t>
  </si>
  <si>
    <t>Subclass / Type</t>
  </si>
  <si>
    <t>Variant</t>
  </si>
  <si>
    <t>Components</t>
  </si>
  <si>
    <t>Operating Context</t>
  </si>
  <si>
    <t>Function</t>
  </si>
  <si>
    <t>Functional Failure</t>
  </si>
  <si>
    <t>Failure Mode</t>
  </si>
  <si>
    <t>Failure Mechanism</t>
  </si>
  <si>
    <t>Failure Cause</t>
  </si>
  <si>
    <t>Failure Effect</t>
  </si>
  <si>
    <t>Detectable under normal conditions?
Or Hidden?</t>
  </si>
  <si>
    <t>Column1</t>
  </si>
  <si>
    <t>Consequence Type</t>
  </si>
  <si>
    <t>Consequence [1..5]</t>
  </si>
  <si>
    <t>Likelihood [1..5]</t>
  </si>
  <si>
    <t>Detectability [1..5]</t>
  </si>
  <si>
    <t>RPN [/75]</t>
  </si>
  <si>
    <t>Task Description</t>
  </si>
  <si>
    <t>Task Acceptable Conditions</t>
  </si>
  <si>
    <t>Corrective Action</t>
  </si>
  <si>
    <t xml:space="preserve"> Interval</t>
  </si>
  <si>
    <t>Units</t>
  </si>
  <si>
    <t>Trade</t>
  </si>
  <si>
    <t>Manning</t>
  </si>
  <si>
    <t>Duration Hr</t>
  </si>
  <si>
    <t>Location Photo</t>
  </si>
  <si>
    <t>Documents</t>
  </si>
  <si>
    <t>Safety / Hazards / PPE</t>
  </si>
  <si>
    <t>Resources / Tools / Special Equipment</t>
  </si>
  <si>
    <t>Control Valve</t>
  </si>
  <si>
    <t>Valve Body</t>
  </si>
  <si>
    <t>Exposed, close to the ocean (&lt;500m)</t>
  </si>
  <si>
    <t>To contain the process fluid and provide the main flow path through the valve.</t>
  </si>
  <si>
    <t>Loss of ability to contain pressure or maintain a sealed flow path</t>
  </si>
  <si>
    <t>External leakage</t>
  </si>
  <si>
    <t>•Corossion</t>
  </si>
  <si>
    <t>Salt-laden atmosphere, poor coating, material degradation</t>
  </si>
  <si>
    <t>Environemental contamination, safety hazard</t>
  </si>
  <si>
    <t>Detectable</t>
  </si>
  <si>
    <t>Safety</t>
  </si>
  <si>
    <t>External visual inspection of control valve body for signs of leakage, corrosion, or surface degradation</t>
  </si>
  <si>
    <t>Valve body free from visible leakage, corrosion, or damage. Coating intact with no blistering or peeling. No cracks or deformation.</t>
  </si>
  <si>
    <t>Raise a Work Request for repairs</t>
  </si>
  <si>
    <t>Inspection</t>
  </si>
  <si>
    <t>Body rupture</t>
  </si>
  <si>
    <t>•Thermal stress
•Stress Cracking</t>
  </si>
  <si>
    <t>Overpressure, thermal cycling, casting flaw</t>
  </si>
  <si>
    <t>Sudden loss of containtment, safety hazard</t>
  </si>
  <si>
    <t>External visual inspection of valve body for signs of cracks, deformation, or impact damage</t>
  </si>
  <si>
    <t>Valve body structurally sound with no visible cracks, deformation, or impact damage. Welds intact. No signs of stress or strain.</t>
  </si>
  <si>
    <t>Loss of pressure-retaining capability</t>
  </si>
  <si>
    <t>•Erosion
•Material thinning</t>
  </si>
  <si>
    <t>High-velocity or abrasive media</t>
  </si>
  <si>
    <t>Inability to maintain system pressure</t>
  </si>
  <si>
    <t>Detectable with Anciliary Equipment</t>
  </si>
  <si>
    <t>Internal visual inspection for erosion, pitting, or thinning on high-velocity or abrasive flow surfaces.</t>
  </si>
  <si>
    <t>Valve body free from erosion or wall thinning. No signs of internal wear, pitting, or material loss. Pressure boundary intact.</t>
  </si>
  <si>
    <t>Overhaul</t>
  </si>
  <si>
    <t xml:space="preserve">Internal surface wear
</t>
  </si>
  <si>
    <t>•Erosion or cavitation</t>
  </si>
  <si>
    <t>Poor flow control design, flashing</t>
  </si>
  <si>
    <t>Reduced flow control accuracy</t>
  </si>
  <si>
    <t>Hidden</t>
  </si>
  <si>
    <t>Internal visual inspection for erosion, or cavitation damage.</t>
  </si>
  <si>
    <t>Internal surfaces of valve body free from erosion, cavitation damage, or material loss. No signs of pitting, gouging, or flow path deformation.</t>
  </si>
  <si>
    <t>Crack development</t>
  </si>
  <si>
    <t>•Mechanical fatigue</t>
  </si>
  <si>
    <t>Vibration, external impact, cyclic stress</t>
  </si>
  <si>
    <t>Compomise structural intergirty</t>
  </si>
  <si>
    <t>Internal  &amp; external close/detail visual inspection for cracks and damages.</t>
  </si>
  <si>
    <t>Internal and external surfaces of valve body free from cracks. No signs of external damages</t>
  </si>
  <si>
    <t>PIS NDT Inspection</t>
  </si>
  <si>
    <t>Trim (Plug/Disc, Seat, Stem, Cage/Guide)</t>
  </si>
  <si>
    <t>Exposed to the process medium</t>
  </si>
  <si>
    <t>To regulate and shut off process fluid flow within the valve.</t>
  </si>
  <si>
    <t>Loss of ability to accurately control or shut off flow.</t>
  </si>
  <si>
    <t>Leakage past seat</t>
  </si>
  <si>
    <t>•Plug/seat wear
•Deformation</t>
  </si>
  <si>
    <t>Erosion, flashing, improper seating</t>
  </si>
  <si>
    <t>Inability to shut off flow, bypass leakage</t>
  </si>
  <si>
    <t>Perform valve calibration using smart positioner to evaluate stroke response and shutoff behavior</t>
  </si>
  <si>
    <t>Valve achieves full shutoff position with smooth, consistent travel and no indication of overtravel, drift, or sealing deviation during calibration.</t>
  </si>
  <si>
    <t>Calibrate</t>
  </si>
  <si>
    <t>Sticking/jamming</t>
  </si>
  <si>
    <t>•Galling
•Corrosion
•Debris lodging</t>
  </si>
  <si>
    <t>Infrequent operation, poor air quality, misalignment, guide damage</t>
  </si>
  <si>
    <t>No or slow valve response, fails to open/close properly</t>
  </si>
  <si>
    <t>Review valve stroke signature online or perform partial stroke test</t>
  </si>
  <si>
    <t>Valve stroke smooth and consistent with no signs of hesitation, sticking, or abnormal response. Valve position tracks control signal accurately during partial stroke or signature review.</t>
  </si>
  <si>
    <t xml:space="preserve">Test </t>
  </si>
  <si>
    <t>Stem misalignment or bending</t>
  </si>
  <si>
    <t>•Mechanical stress
•Improper support</t>
  </si>
  <si>
    <t>Side-loading by actuator, over-travel, assembly misalignment</t>
  </si>
  <si>
    <t>Plug mis-seats, poor control, mechanical wear in packing</t>
  </si>
  <si>
    <t>Valve stroke is smooth and consistent with no irregularities. Stem is straight and properly aligned with the actuator. No signs of binding, offset movement, or side loading during testing or inspection.</t>
  </si>
  <si>
    <t>Seat damage or deformation</t>
  </si>
  <si>
    <t>•Impact
•Thermal distortion</t>
  </si>
  <si>
    <t>Water hammer, hard shutoff, temperature cycling</t>
  </si>
  <si>
    <t>Flow leakage under shutoff, chattering or unstable behavior</t>
  </si>
  <si>
    <t>During valve overhaul inspect for impact damage, thermal distortion, or wear, and replace if sealing integrity is compromised.</t>
  </si>
  <si>
    <t>Seat free from impact damage, deformation, or distortion. Seating surface smooth and capable of achieving proper shutoff. No cracks, warping, or irregular wear.</t>
  </si>
  <si>
    <t>Guide wear or damage</t>
  </si>
  <si>
    <t>•Mechanical abrasion
•Distortion</t>
  </si>
  <si>
    <t>Misaligned stem, plug side-load, poor surface finish</t>
  </si>
  <si>
    <t>Plug instability, sticking, excessive wear</t>
  </si>
  <si>
    <t>During valve overhaul inspect for wear, scoring, or distortion, and ensure smooth plug movement without obstruction.</t>
  </si>
  <si>
    <t>Guide surface smooth, undamaged, and properly aligned; plug moves freely without resistance or binding.</t>
  </si>
  <si>
    <t>Valve Bonnet (Gasket, Flange)</t>
  </si>
  <si>
    <t>Exposed, close to the ocean (&lt;500m) &amp; exposed to process medium</t>
  </si>
  <si>
    <t>To seal the valve body and support internal components.</t>
  </si>
  <si>
    <t>Loss of sealing or pressure-retaining capability.</t>
  </si>
  <si>
    <t>External leakage (gasket)</t>
  </si>
  <si>
    <t>•Gasket degradation</t>
  </si>
  <si>
    <t>Age degradation, overcompression, improper torque, corrosion</t>
  </si>
  <si>
    <t>Process fluid leaks externally</t>
  </si>
  <si>
    <t>Perform visual inspection of bonnet flange area for signs of gasket degradation, including leakage, staining, or gasket extrusion.</t>
  </si>
  <si>
    <t>No visible leakage, staining, or gasket extrusion; flange and gasket area clean, dry, and intact.</t>
  </si>
  <si>
    <t>Bonnet bolt loosening</t>
  </si>
  <si>
    <t>•Vibration
•Relaxation</t>
  </si>
  <si>
    <t>Improper tightening, cyclic loads, corrosion</t>
  </si>
  <si>
    <t>Gasket compression loss, eventual leakage</t>
  </si>
  <si>
    <t>Check bonnet bolts during inspection or overhaul for tightness and signs of loosening, corrosion, or uneven torque; re-torque as required</t>
  </si>
  <si>
    <t>All bonnet bolts secure, evenly torqued, and free from corrosion or damage; no signs of looseness or preload loss.</t>
  </si>
  <si>
    <t>Gasket extrusion/blowout</t>
  </si>
  <si>
    <t>•Overpressure
•Misalignment</t>
  </si>
  <si>
    <t>Incorrect gasket selection, poor assembly, pressure surge</t>
  </si>
  <si>
    <t>Sudden loss of containment, safety risk</t>
  </si>
  <si>
    <t>Perform visual inspection of bonnet flange area for signs of gasket gasket extrusion.</t>
  </si>
  <si>
    <t>No signs of gasket extrusion, displacement, or deformation; bonnet flange area clean, dry, and intact.</t>
  </si>
  <si>
    <t>Flange surface corrosion</t>
  </si>
  <si>
    <t>•Corrosion</t>
  </si>
  <si>
    <t>Salt-laden air, gasket leakage, poor material/coating</t>
  </si>
  <si>
    <t>Loss of sealing integrity</t>
  </si>
  <si>
    <t>Perform visual inspection of bonnet flange surfaces for signs of corrosion, pitting, or material degradation</t>
  </si>
  <si>
    <t>Flange surfaces clean, free from corrosion, pitting, or damage; sealing surfaces intact and suitable for gasket contact.</t>
  </si>
  <si>
    <t>Packing System (Follower, Stud, Packing)</t>
  </si>
  <si>
    <t>Exposed to the process medium &amp; partial exposure to environment</t>
  </si>
  <si>
    <t>To prevent process fluid from leaking along the valve stem.</t>
  </si>
  <si>
    <t>Loss of sealing around the stem.</t>
  </si>
  <si>
    <t>External leakage (stem)</t>
  </si>
  <si>
    <t>•Packing wear
•Hardening
•Extrusion</t>
  </si>
  <si>
    <t>Thermal cycling, over-tightening, age, abrasive media</t>
  </si>
  <si>
    <t>Visible fluid leak along stem</t>
  </si>
  <si>
    <t>Inspect packing area for signs of stem leakage, packing wear, hardening, or extrusion; adjust or replace packing as necessary</t>
  </si>
  <si>
    <t>No visible leakage at packing; packing is intact, seated properly, and free from hardening, wear, or extrusion</t>
  </si>
  <si>
    <t>Packing blowout</t>
  </si>
  <si>
    <t>•Packing ejection under pressure</t>
  </si>
  <si>
    <t>Improper installation, missing follower/stud, sudden pressure rise</t>
  </si>
  <si>
    <t>Sudden uncontrolled leak, safety risk</t>
  </si>
  <si>
    <t>Inspect packing follower, studs, and gland for correct installation and tightness; ensure packing is properly seated to prevent ejection under pressure</t>
  </si>
  <si>
    <t>Packing securely retained with follower and studs in place; no signs of displacement, looseness, or improper compression.</t>
  </si>
  <si>
    <t>Follower/stud loosening</t>
  </si>
  <si>
    <t>•Loss of compression</t>
  </si>
  <si>
    <t>Vibration, thermal expansion, improper torque, improper installation</t>
  </si>
  <si>
    <t>Reduced packing preload, progressive leakage</t>
  </si>
  <si>
    <t>Packing galling on stem</t>
  </si>
  <si>
    <t>•Adhesive wear on stem</t>
  </si>
  <si>
    <t>Incompatible materials, dry contact, poor lubrication</t>
  </si>
  <si>
    <t>Stem scoring, leakage, stem sticking</t>
  </si>
  <si>
    <t>During valve overhaul, inspect stem and packing contact surfaces for galling or adhesive wear; clean, polish, or replace as required.</t>
  </si>
  <si>
    <t>Stem surface smooth and free from galling, scoring, or adhesive wear; packing interface undamaged and suitable for proper sealing.</t>
  </si>
  <si>
    <t>Yoke</t>
  </si>
  <si>
    <t>To support and align the actuator and stem with the valve body.</t>
  </si>
  <si>
    <t>Loss of structural support or misalignment.</t>
  </si>
  <si>
    <t>Cracking or fracture</t>
  </si>
  <si>
    <t>•Fatigue
•Mechanical overload</t>
  </si>
  <si>
    <t>Vibration, over-tightening, casting defect</t>
  </si>
  <si>
    <t>Misalignment, actuator instability, structural failure</t>
  </si>
  <si>
    <t>External close/detail visual inspection for cracks and damages</t>
  </si>
  <si>
    <t>Yoke surface free from cracks. No signs of external damages</t>
  </si>
  <si>
    <t>Corrosion</t>
  </si>
  <si>
    <t>•Surface degradation</t>
  </si>
  <si>
    <t>Salt-laden air, poor coating, galvanic corrosion</t>
  </si>
  <si>
    <t>Loss of strength, bolt seizure, structural integrity risk</t>
  </si>
  <si>
    <t>Perform visual inspection of yoke surfaces for signs of corrosion, pitting, or material degradation</t>
  </si>
  <si>
    <t>Yoke surfaces clean, free from corrosion, pitting, or damage.</t>
  </si>
  <si>
    <t>Actuator Body</t>
  </si>
  <si>
    <t>To house and protect the internal components of the actuator.</t>
  </si>
  <si>
    <t xml:space="preserve">Loss of integrity or inability to contain/control actuation pressure.
</t>
  </si>
  <si>
    <t>Corrosion - External</t>
  </si>
  <si>
    <t>Moisture, salt-laden air</t>
  </si>
  <si>
    <t>Housing weakening, air leakage, mounting failure</t>
  </si>
  <si>
    <t>Perform visual inspection of actuator surfaces for signs of corrosion, pitting, or material degradation</t>
  </si>
  <si>
    <t>Actuator surfaces clean, free from corrosion, pitting, or damage.</t>
  </si>
  <si>
    <t>Corrosion - Internal</t>
  </si>
  <si>
    <t>Contaminated instrument air</t>
  </si>
  <si>
    <t>During valve overhaul, inspect actuator interior for corrosion, moisture ingress, or internal surface degradation</t>
  </si>
  <si>
    <t>Actuator interior clean and dry, with no corrosion, pitting, or material degradation. Internal components intact and functional.</t>
  </si>
  <si>
    <t>Seal leakage (cover joints)</t>
  </si>
  <si>
    <t>•Gasket
•O-ring degradation</t>
  </si>
  <si>
    <t>Aging, improper installation</t>
  </si>
  <si>
    <t>Air leak, pressure loss, inconsistent valve response</t>
  </si>
  <si>
    <t>Inspect actuator area for signs of gasket or O-ring degradation, hardening, or damage</t>
  </si>
  <si>
    <t>Seals intact and properly seated with no cracks, hardening, or deformation; cover joints dry and leak-free.</t>
  </si>
  <si>
    <t>Diaphragm</t>
  </si>
  <si>
    <t>Diaphragm/ Piston</t>
  </si>
  <si>
    <t>Exposed to the quality of internal instrument air</t>
  </si>
  <si>
    <t>To convert air pressure into linear or rotary motion.</t>
  </si>
  <si>
    <t>Loss of ability to transmit force or respond to control pressure</t>
  </si>
  <si>
    <t>Rupture or tearing</t>
  </si>
  <si>
    <t>•Fatigue
•Stress
•Material defect</t>
  </si>
  <si>
    <t>Aging, excessive pressure, chemical attack, poor air quality</t>
  </si>
  <si>
    <t>Loss of motion, actuator fails to stroke</t>
  </si>
  <si>
    <t>Valve stroke is smooth and consistent with no abnormalities</t>
  </si>
  <si>
    <t>Piston</t>
  </si>
  <si>
    <t xml:space="preserve">Piston scoring </t>
  </si>
  <si>
    <t>•Mechanical wear 
•Contamination</t>
  </si>
  <si>
    <t>Dirty air, lack of lubrication, abrasive particles</t>
  </si>
  <si>
    <t>Air bypass, reduced thrust, unstable motion</t>
  </si>
  <si>
    <t>Detected via erratic performance</t>
  </si>
  <si>
    <t>Review valve stroke signature online or perform full stroke test</t>
  </si>
  <si>
    <t>Binding or sticking</t>
  </si>
  <si>
    <t>•Friction from distortion 
•Internal damage</t>
  </si>
  <si>
    <t>Thermal distortion, corrosion, or dry contact</t>
  </si>
  <si>
    <t>Delayed or failed actuation</t>
  </si>
  <si>
    <t>Spring - Actuator</t>
  </si>
  <si>
    <t>To return the actuator to a safe position upon loss of air pressure.</t>
  </si>
  <si>
    <t>Loss of force needed for safe valve positioning.</t>
  </si>
  <si>
    <t>Fracture or breakage (0 psi output)</t>
  </si>
  <si>
    <t>•Fatigue
•Stress corrosion cracking</t>
  </si>
  <si>
    <t>Repeated cycling, corrosion, material defect</t>
  </si>
  <si>
    <t>Valve fails to return to safe (fail) position</t>
  </si>
  <si>
    <t>During valve overhaul, inspect actuator spring for cracks, corrosion, or signs of fatigue; replace spring if any defects or loss of integrity are found</t>
  </si>
  <si>
    <t>Spring intact, free from cracks, corrosion, or deformation; maintains proper preload and elasticity.</t>
  </si>
  <si>
    <t>•Surface pitting</t>
  </si>
  <si>
    <t>Moisture, salt, contaminated air</t>
  </si>
  <si>
    <t>Reduced strength, delayed return, eventual fracture</t>
  </si>
  <si>
    <t>Loss of preload</t>
  </si>
  <si>
    <t>•Bolt loosening
•Spring settling</t>
  </si>
  <si>
    <t>Vibration, improper installation</t>
  </si>
  <si>
    <t>Inconsistent valve return or slow closure</t>
  </si>
  <si>
    <t>Perform full stroke test to detect abnormal stroke behavior</t>
  </si>
  <si>
    <t>Spring maintains correct preload with bolts secure and properly torqued</t>
  </si>
  <si>
    <t>Misalignment or seating issue</t>
  </si>
  <si>
    <t>•Uneven load
•Spring buckling</t>
  </si>
  <si>
    <t>Improper installation, wear on spring guide</t>
  </si>
  <si>
    <t>Lateral force on stem, sticking, jamming</t>
  </si>
  <si>
    <t>Spring seated evenly with no signs of misalignment, tilting, or buckling; load distributed uniformly.</t>
  </si>
  <si>
    <t>I/P Converter</t>
  </si>
  <si>
    <t>Exposed to the quality of internal instrument air &amp; environment</t>
  </si>
  <si>
    <t>To convert an electrical signal into a pneumatic pressure signal.</t>
  </si>
  <si>
    <t>Failure to convert electrical signal into pnuematic signal</t>
  </si>
  <si>
    <t>No pneumatic output</t>
  </si>
  <si>
    <t>•Electrical failure
•Internal blockage</t>
  </si>
  <si>
    <t>Power loss, wire break, nozzle clogging</t>
  </si>
  <si>
    <t>Actuator receives no signal, valve fails to move</t>
  </si>
  <si>
    <t>Perform valve calibration or perform function test the I/P converter to verify electrical input and pneumatic output</t>
  </si>
  <si>
    <t>I/P converter provides correct and stable pneumatic output in response to electrical signal; no blockage or signal loss.</t>
  </si>
  <si>
    <t>Incorrect output pressure</t>
  </si>
  <si>
    <t>•Calibration drift
•Air leak</t>
  </si>
  <si>
    <t>Aging, physical damage, contamination</t>
  </si>
  <si>
    <t>Valve position does not match control signal</t>
  </si>
  <si>
    <t>Internal corrosion or clogging</t>
  </si>
  <si>
    <t>•Contaminated air
•Moisture ingress</t>
  </si>
  <si>
    <t>Poor air filtration, coastal exposure</t>
  </si>
  <si>
    <t>Gradual failure or erratic pressure output</t>
  </si>
  <si>
    <t>Feedback Mechanism</t>
  </si>
  <si>
    <t>To position the valve accurately in response to the control signal.</t>
  </si>
  <si>
    <t xml:space="preserve">Loss of ability to control or confirm valve position.
</t>
  </si>
  <si>
    <t>Valve position mismatch</t>
  </si>
  <si>
    <t>•Feedback loop failure
•Calibration drift</t>
  </si>
  <si>
    <t>Feedback arm wear, sensor error, electrical noise</t>
  </si>
  <si>
    <t>Review valve signature or verify valve position feedback against actual valve travel</t>
  </si>
  <si>
    <t>Valve position feedback matches actual valve position accurately; no drift, error, or loop malfunction</t>
  </si>
  <si>
    <t>Controller</t>
  </si>
  <si>
    <t>Electronic board failure (smart positioners)</t>
  </si>
  <si>
    <t>•Component fault
•Burnout</t>
  </si>
  <si>
    <t>Power surge, moisture ingress, aging</t>
  </si>
  <si>
    <t>No response, incorrect diagnostics, total failure</t>
  </si>
  <si>
    <t>Monitor controller diagnostics and alarms for hardware faults</t>
  </si>
  <si>
    <t>Controller operating normally with no hardware faults, error codes, or abnormal behavior; all input/output functions stable and reliable</t>
  </si>
  <si>
    <t>Solenoid</t>
  </si>
  <si>
    <t>To enable or block air supply to the actuator based on an electrical signal.</t>
  </si>
  <si>
    <t xml:space="preserve">Failure to switch air flow in response to the control signal.
</t>
  </si>
  <si>
    <t>Fails to energize/de-energize</t>
  </si>
  <si>
    <r>
      <rPr>
        <b/>
        <sz val="9"/>
        <color rgb="FF000000"/>
        <rFont val="Calibri"/>
        <family val="2"/>
      </rPr>
      <t>•</t>
    </r>
    <r>
      <rPr>
        <sz val="9"/>
        <color indexed="8"/>
        <rFont val="Calibri"/>
        <family val="2"/>
      </rPr>
      <t xml:space="preserve">Coil burnout
</t>
    </r>
    <r>
      <rPr>
        <b/>
        <sz val="9"/>
        <color rgb="FF000000"/>
        <rFont val="Calibri"/>
        <family val="2"/>
      </rPr>
      <t>•</t>
    </r>
    <r>
      <rPr>
        <sz val="9"/>
        <color indexed="8"/>
        <rFont val="Calibri"/>
        <family val="2"/>
      </rPr>
      <t xml:space="preserve">Signal loss
•Mechanical binding
</t>
    </r>
    <r>
      <rPr>
        <b/>
        <sz val="9"/>
        <color rgb="FF000000"/>
        <rFont val="Calibri"/>
        <family val="2"/>
      </rPr>
      <t>•</t>
    </r>
    <r>
      <rPr>
        <sz val="9"/>
        <color indexed="8"/>
        <rFont val="Calibri"/>
        <family val="2"/>
      </rPr>
      <t>Loose/ broken wiring</t>
    </r>
  </si>
  <si>
    <t>power failure, loose connection, corossion, poor installation</t>
  </si>
  <si>
    <t>may fail to fail-safe, no actuation</t>
  </si>
  <si>
    <t>Function test solenoid by cycling it and verifying response</t>
  </si>
  <si>
    <t>Solenoid energizes and de-energizes reliably with proper signal; coil intact, wiring secure, and no mechanical sticking.</t>
  </si>
  <si>
    <t>Air leakage (connectors)</t>
  </si>
  <si>
    <t>•Seal degradation
•Seat degradation</t>
  </si>
  <si>
    <t>Wear, aging, internal contamination</t>
  </si>
  <si>
    <t>Pressure drop, slow actuator movement</t>
  </si>
  <si>
    <t>Inspect solenoid area for drips/stains, audible leak, abnormal pressure drops</t>
  </si>
  <si>
    <t>All air connectors leak-free with seals intact and properly seated</t>
  </si>
  <si>
    <t>Air Regulator</t>
  </si>
  <si>
    <t>To maintain a stable, reduced air pressure to downstream pneumatic components.</t>
  </si>
  <si>
    <t>Inability to regulate or maintain correct output pressure.</t>
  </si>
  <si>
    <t>•Pressure fluctuation
•No flow</t>
  </si>
  <si>
    <t>•Mechanical failure
•Leakage
•Clogging</t>
  </si>
  <si>
    <t>Damage, corrosion, wear</t>
  </si>
  <si>
    <t>erratic pressure output, no flow</t>
  </si>
  <si>
    <t>Verify air regulator performance by checking pressure gauge readings for stability and expected output</t>
  </si>
  <si>
    <t>Pressure readings stable and within specified range</t>
  </si>
  <si>
    <t>1100A0011</t>
  </si>
  <si>
    <t>01</t>
  </si>
  <si>
    <t>Biogo Dosing Service</t>
  </si>
  <si>
    <t>02</t>
  </si>
  <si>
    <t>ATU Pump Out Clean</t>
  </si>
  <si>
    <t>1100A0012</t>
  </si>
  <si>
    <t>1100A0015</t>
  </si>
  <si>
    <t>Sewerage System Service</t>
  </si>
  <si>
    <t>1100A0019</t>
  </si>
  <si>
    <t>Pump Sewerage Service</t>
  </si>
  <si>
    <t>1100A0020</t>
  </si>
  <si>
    <t>Level Tx Calibrate</t>
  </si>
  <si>
    <t>1100A0027</t>
  </si>
  <si>
    <t>1100A0029</t>
  </si>
  <si>
    <t>1100A0030</t>
  </si>
  <si>
    <t>Sewage Clean</t>
  </si>
  <si>
    <t>Biogo Dosing Service Ops</t>
  </si>
  <si>
    <t>1100A0032</t>
  </si>
  <si>
    <t>Biogo Dosing Service Admin</t>
  </si>
  <si>
    <t>03</t>
  </si>
  <si>
    <t>1100A0037</t>
  </si>
  <si>
    <t>Biogo Dosing Service Chems Eats</t>
  </si>
  <si>
    <t>1100A0041</t>
  </si>
  <si>
    <t>1100A0043</t>
  </si>
  <si>
    <t>1100A0044</t>
  </si>
  <si>
    <t>1100A0045</t>
  </si>
  <si>
    <t>1100A0048</t>
  </si>
  <si>
    <t>1100A0049</t>
  </si>
  <si>
    <t>1100A0060</t>
  </si>
  <si>
    <t>Whipper Snipping Clean</t>
  </si>
  <si>
    <t>1100A0113</t>
  </si>
  <si>
    <t>Bridge Inspect</t>
  </si>
  <si>
    <t>1100B0003</t>
  </si>
  <si>
    <t>Cleaning Contractor Audit</t>
  </si>
  <si>
    <t>Test and Tag</t>
  </si>
  <si>
    <t>1100CU0002</t>
  </si>
  <si>
    <t>Radio System Maintenance</t>
  </si>
  <si>
    <t>Radio System Service</t>
  </si>
  <si>
    <t>1100CU0031</t>
  </si>
  <si>
    <t>Radio Portable EEHA Inspect</t>
  </si>
  <si>
    <t>1100CU0070</t>
  </si>
  <si>
    <t>1100CU0071</t>
  </si>
  <si>
    <t>1100CU0072</t>
  </si>
  <si>
    <t>1100CU0073</t>
  </si>
  <si>
    <t>1100CU0076</t>
  </si>
  <si>
    <t>1100CU0077</t>
  </si>
  <si>
    <t>1100CU0080</t>
  </si>
  <si>
    <t>1100CU0081</t>
  </si>
  <si>
    <t>1100CU0082</t>
  </si>
  <si>
    <t>1100CU0083</t>
  </si>
  <si>
    <t>1100CU0084</t>
  </si>
  <si>
    <t>1100CU0111</t>
  </si>
  <si>
    <t>1100CU0113</t>
  </si>
  <si>
    <t>1100CU0116</t>
  </si>
  <si>
    <t>1100CU0117</t>
  </si>
  <si>
    <t>1100CU0118</t>
  </si>
  <si>
    <t>1100CU0123</t>
  </si>
  <si>
    <t>1100CU0125</t>
  </si>
  <si>
    <t>1100CU0126</t>
  </si>
  <si>
    <t>1100CU0127</t>
  </si>
  <si>
    <t>1100CU0128</t>
  </si>
  <si>
    <t>1100CU0129</t>
  </si>
  <si>
    <t>1100CU0130</t>
  </si>
  <si>
    <t>1100CU0131</t>
  </si>
  <si>
    <t>1100CU0133</t>
  </si>
  <si>
    <t>1100CU0135</t>
  </si>
  <si>
    <t>1100CU0138</t>
  </si>
  <si>
    <t>1100CU0139</t>
  </si>
  <si>
    <t>1100CU0140</t>
  </si>
  <si>
    <t>1100CU0141</t>
  </si>
  <si>
    <t>1100CU0160</t>
  </si>
  <si>
    <t>1100CU0162</t>
  </si>
  <si>
    <t>1100CU0163</t>
  </si>
  <si>
    <t>1100CU0200</t>
  </si>
  <si>
    <t>Inspect EEHA</t>
  </si>
  <si>
    <t>1100CU0202</t>
  </si>
  <si>
    <t>1100CU0204</t>
  </si>
  <si>
    <t>1100CU0205</t>
  </si>
  <si>
    <t>1100CU0206</t>
  </si>
  <si>
    <t>1100CU0220</t>
  </si>
  <si>
    <t>1100CU0221</t>
  </si>
  <si>
    <t>1100CU0227</t>
  </si>
  <si>
    <t>1100CU0228</t>
  </si>
  <si>
    <t>1100CU0229</t>
  </si>
  <si>
    <t>1100CU0230</t>
  </si>
  <si>
    <t>1100CU0231</t>
  </si>
  <si>
    <t>1100CU0232</t>
  </si>
  <si>
    <t>1100CU0238</t>
  </si>
  <si>
    <t>1100CU0239</t>
  </si>
  <si>
    <t>1100CU0251</t>
  </si>
  <si>
    <t>1100CU0327</t>
  </si>
  <si>
    <t>1100CU0328</t>
  </si>
  <si>
    <t>1100CU0329</t>
  </si>
  <si>
    <t>1100CU0330</t>
  </si>
  <si>
    <t>1100CU0331</t>
  </si>
  <si>
    <t>1100CU0332</t>
  </si>
  <si>
    <t>1100CU0333</t>
  </si>
  <si>
    <t>1100CU0334</t>
  </si>
  <si>
    <t>1100CU0335</t>
  </si>
  <si>
    <t>1100CU0336</t>
  </si>
  <si>
    <t>1100CU0337</t>
  </si>
  <si>
    <t>1100CU0338</t>
  </si>
  <si>
    <t>1100CU0339</t>
  </si>
  <si>
    <t>1100CU0340</t>
  </si>
  <si>
    <t>1100CU0341</t>
  </si>
  <si>
    <t>1100CU0342</t>
  </si>
  <si>
    <t>1100CU0343</t>
  </si>
  <si>
    <t>1100CU0344</t>
  </si>
  <si>
    <t>1100CU0345</t>
  </si>
  <si>
    <t>1100CU0346</t>
  </si>
  <si>
    <t>1100CU0347</t>
  </si>
  <si>
    <t>1100CU0348</t>
  </si>
  <si>
    <t>1100CU0349</t>
  </si>
  <si>
    <t>1100CU0350</t>
  </si>
  <si>
    <t>1100CU0351</t>
  </si>
  <si>
    <t>1100CU0352</t>
  </si>
  <si>
    <t>1100CU0353</t>
  </si>
  <si>
    <t>1100CU0354</t>
  </si>
  <si>
    <t>1100CU0501</t>
  </si>
  <si>
    <t>1100CU0502</t>
  </si>
  <si>
    <t>1100CU0503</t>
  </si>
  <si>
    <t>1100CU0504</t>
  </si>
  <si>
    <t>1100CU0505</t>
  </si>
  <si>
    <t>1100CU0511</t>
  </si>
  <si>
    <t>1100CU0512</t>
  </si>
  <si>
    <t>1100CU0518</t>
  </si>
  <si>
    <t>1100CU0519</t>
  </si>
  <si>
    <t>1100CU0520</t>
  </si>
  <si>
    <t>1100CU0521</t>
  </si>
  <si>
    <t>1100CU0530</t>
  </si>
  <si>
    <t>1100CU0538</t>
  </si>
  <si>
    <t>1100CU0541</t>
  </si>
  <si>
    <t>1100CU0547</t>
  </si>
  <si>
    <t>1100CU0548</t>
  </si>
  <si>
    <t>1100CU0549</t>
  </si>
  <si>
    <t>1100CU0550</t>
  </si>
  <si>
    <t>1100CU0551</t>
  </si>
  <si>
    <t>1100CU0552</t>
  </si>
  <si>
    <t>1100CU0553</t>
  </si>
  <si>
    <t>1100CU0554</t>
  </si>
  <si>
    <t>1100CU0555</t>
  </si>
  <si>
    <t>1100CU0600</t>
  </si>
  <si>
    <t>1100CU0601</t>
  </si>
  <si>
    <t>1100CU0602</t>
  </si>
  <si>
    <t>1100CU0603</t>
  </si>
  <si>
    <t>1100CU0609</t>
  </si>
  <si>
    <t>1100CU0716</t>
  </si>
  <si>
    <t>1100CU0717</t>
  </si>
  <si>
    <t>1100CU0718</t>
  </si>
  <si>
    <t>1100CU0719</t>
  </si>
  <si>
    <t>1100CU0720</t>
  </si>
  <si>
    <t>1100DB0202</t>
  </si>
  <si>
    <t>Distribution Board Inspect</t>
  </si>
  <si>
    <t>1100FI0008</t>
  </si>
  <si>
    <t>Flow Ind Calibrate</t>
  </si>
  <si>
    <t>1100FI0010</t>
  </si>
  <si>
    <t>Inst Flow Calibrate</t>
  </si>
  <si>
    <t>1100FI0012</t>
  </si>
  <si>
    <t>Flow Tx Certify Calibrate</t>
  </si>
  <si>
    <t>1100FI0014</t>
  </si>
  <si>
    <t>1100FIT0161</t>
  </si>
  <si>
    <t>Inst Flow Verification Flow Tx</t>
  </si>
  <si>
    <t>1100FIT0165</t>
  </si>
  <si>
    <t>Flow TX Magnetic EEHA Inspect</t>
  </si>
  <si>
    <t>1100FIT0605</t>
  </si>
  <si>
    <t>1100FIT0903A</t>
  </si>
  <si>
    <t>1100FIT0903B</t>
  </si>
  <si>
    <t>1100FPP0007</t>
  </si>
  <si>
    <t>Control Panel Inspect</t>
  </si>
  <si>
    <t>1100FPP0008</t>
  </si>
  <si>
    <t>1100FPP0012</t>
  </si>
  <si>
    <t>1100FPP0019</t>
  </si>
  <si>
    <t>1100FPP0021</t>
  </si>
  <si>
    <t>1100FPP0022</t>
  </si>
  <si>
    <t>1100FPP0025</t>
  </si>
  <si>
    <t>1100FPP0028</t>
  </si>
  <si>
    <t>1100FPP0030</t>
  </si>
  <si>
    <t>1100FPP0032</t>
  </si>
  <si>
    <t>1100FPP0033</t>
  </si>
  <si>
    <t>1100FSS0050</t>
  </si>
  <si>
    <t>Fire Suppression FM200 Inspect</t>
  </si>
  <si>
    <t>1100FSS0051</t>
  </si>
  <si>
    <t>1100FSS0052</t>
  </si>
  <si>
    <t>1100FSS0053</t>
  </si>
  <si>
    <t>1100FSS0054</t>
  </si>
  <si>
    <t>1100FSS0055</t>
  </si>
  <si>
    <t>1100FSS0056</t>
  </si>
  <si>
    <t>1100FSS0057</t>
  </si>
  <si>
    <t>1100FSS0058</t>
  </si>
  <si>
    <t>1100FSS0059</t>
  </si>
  <si>
    <t>1100FSS0060</t>
  </si>
  <si>
    <t>1100FSS0061</t>
  </si>
  <si>
    <t>1100FSS0062</t>
  </si>
  <si>
    <t>1100FSS0081</t>
  </si>
  <si>
    <t>1100FSS0082</t>
  </si>
  <si>
    <t>1100FSS0083</t>
  </si>
  <si>
    <t>1100FSS0084</t>
  </si>
  <si>
    <t>1100FSS0085</t>
  </si>
  <si>
    <t>1100FSS0086</t>
  </si>
  <si>
    <t>1100FSS0087</t>
  </si>
  <si>
    <t>1100FSS0088</t>
  </si>
  <si>
    <t>1100FSS0089</t>
  </si>
  <si>
    <t>1100FSS0090</t>
  </si>
  <si>
    <t>1100FSS0091</t>
  </si>
  <si>
    <t>1100FSS0092</t>
  </si>
  <si>
    <t>1100FSS0093</t>
  </si>
  <si>
    <t>1100FSS0095</t>
  </si>
  <si>
    <t>1100FT0171</t>
  </si>
  <si>
    <t>Flow Tx Off-site Calibrate</t>
  </si>
  <si>
    <t>1100FT0181</t>
  </si>
  <si>
    <t>1100FT0191</t>
  </si>
  <si>
    <t>1100GAC0681</t>
  </si>
  <si>
    <t>Generator Load Test Service</t>
  </si>
  <si>
    <t>Generator Admin PC Room Test</t>
  </si>
  <si>
    <t>1100H0001</t>
  </si>
  <si>
    <t>HVAC Maintenance</t>
  </si>
  <si>
    <t>1100H0208</t>
  </si>
  <si>
    <t>Joy Sticks Crane #4 Inspect</t>
  </si>
  <si>
    <t>1100H0413</t>
  </si>
  <si>
    <t>Drain Pump Lines Clean</t>
  </si>
  <si>
    <t>1100H0623</t>
  </si>
  <si>
    <t>Filter Maintenance</t>
  </si>
  <si>
    <t>Drain Clean</t>
  </si>
  <si>
    <t>1100IDP0002</t>
  </si>
  <si>
    <t>Admin PABX Contract Review</t>
  </si>
  <si>
    <t>1100PIT0601</t>
  </si>
  <si>
    <t>Pressure Tx Calibrate</t>
  </si>
  <si>
    <t>1100PIT0602</t>
  </si>
  <si>
    <t>Inst Press Calibrate  Tx</t>
  </si>
  <si>
    <t>1100PIT0904</t>
  </si>
  <si>
    <t>1100PLC0001</t>
  </si>
  <si>
    <t>PLC Backup</t>
  </si>
  <si>
    <t>Back Up Battery Test</t>
  </si>
  <si>
    <t>1100PLC0503</t>
  </si>
  <si>
    <t>Control System Backup</t>
  </si>
  <si>
    <t>Back Up Battery PLC Replace</t>
  </si>
  <si>
    <t>1100PLC0504</t>
  </si>
  <si>
    <t>1100PLC0801</t>
  </si>
  <si>
    <t>1100PSV0001</t>
  </si>
  <si>
    <t>PSV Inspect Retest</t>
  </si>
  <si>
    <t>1100PSV0152</t>
  </si>
  <si>
    <t>1100PSV0162</t>
  </si>
  <si>
    <t>1100PV0601</t>
  </si>
  <si>
    <t>CV Calibrate</t>
  </si>
  <si>
    <t>1100PV0602</t>
  </si>
  <si>
    <t>CV Inspect</t>
  </si>
  <si>
    <t>1100SB0012</t>
  </si>
  <si>
    <t>MCC Integrity Test</t>
  </si>
  <si>
    <t>LV Inspect Thermographic</t>
  </si>
  <si>
    <t>1100SRN0061</t>
  </si>
  <si>
    <t>1100SSV0804</t>
  </si>
  <si>
    <t>Slam Shut Valve Test</t>
  </si>
  <si>
    <t>1100SUB0001</t>
  </si>
  <si>
    <t>Substation HV Inspect</t>
  </si>
  <si>
    <t>HV Emergency Lighting Test</t>
  </si>
  <si>
    <t>1100SUB0001-00EBC0091</t>
  </si>
  <si>
    <t>Battery Charger Inspect</t>
  </si>
  <si>
    <t>1100SUB0001-00SB0001</t>
  </si>
  <si>
    <t>Protection Relay Test</t>
  </si>
  <si>
    <t>1100SUB0001-00TX0001</t>
  </si>
  <si>
    <t>Transformer Inspect</t>
  </si>
  <si>
    <t>DGA Sample Analysis Tx Test</t>
  </si>
  <si>
    <t>1100SUB0001-00TX0004</t>
  </si>
  <si>
    <t>1100SUB0001-00TX0005</t>
  </si>
  <si>
    <t>1100SUB0001-00TX0007</t>
  </si>
  <si>
    <t>1100SUB0001-00TX0033</t>
  </si>
  <si>
    <t>1100SUB0002</t>
  </si>
  <si>
    <t>Switchroom Emergency Lights Test</t>
  </si>
  <si>
    <t>Sub 2 Integrity Test</t>
  </si>
  <si>
    <t>1100SUB0002-00EBC0201</t>
  </si>
  <si>
    <t>1100SUB0002-00RMU0204</t>
  </si>
  <si>
    <t>HV Cable Test and Inspect</t>
  </si>
  <si>
    <t>1100SUB0002-00RMU0204-00TX0015</t>
  </si>
  <si>
    <t>1100SUB0002-00RMU0204-00TX0016</t>
  </si>
  <si>
    <t>1100SUB0002-00TX0002</t>
  </si>
  <si>
    <t>HV Cable Inspect &amp; Test</t>
  </si>
  <si>
    <t>1100SUB0002-00TX0006</t>
  </si>
  <si>
    <t>1100SUB0002-00TX0008</t>
  </si>
  <si>
    <t>1100SUB0002-00TX0014</t>
  </si>
  <si>
    <t>1100SUB0003</t>
  </si>
  <si>
    <t>Room Integrity Test</t>
  </si>
  <si>
    <t>1100SUB0003-00EBC0301</t>
  </si>
  <si>
    <t>1100SUB0003-00EBC0302</t>
  </si>
  <si>
    <t>1100SUB0003-00TX0021</t>
  </si>
  <si>
    <t>1100SUB0003-00TX0025</t>
  </si>
  <si>
    <t>1100SUB0003-00TX0030</t>
  </si>
  <si>
    <t>TXR HV Cable Inspect</t>
  </si>
  <si>
    <t>Txr TA5 Earthing Inspect</t>
  </si>
  <si>
    <t>1100SUB0003-00TX0051</t>
  </si>
  <si>
    <t>1100SUB0003-00TX0051-70T0354</t>
  </si>
  <si>
    <t>Bund Inspect</t>
  </si>
  <si>
    <t>1100SUB0003-00TX0053</t>
  </si>
  <si>
    <t>1100SUB0003-00TX0053-68T0425</t>
  </si>
  <si>
    <t>1100SUB0003-00TX0064</t>
  </si>
  <si>
    <t>1100SUB0003-00TX0064-68T0426</t>
  </si>
  <si>
    <t>1100SUB0003-00TX0073</t>
  </si>
  <si>
    <t>1100SUB0003-00TX0073-68T0424</t>
  </si>
  <si>
    <t>1100SUB0005</t>
  </si>
  <si>
    <t>Compounds MCC Room Integrity Test</t>
  </si>
  <si>
    <t>Compounds HV SR Room Integrity Test</t>
  </si>
  <si>
    <t>Compounds DCS Room Integrity Test</t>
  </si>
  <si>
    <t>04</t>
  </si>
  <si>
    <t>1100SUB0005-00EBC0501</t>
  </si>
  <si>
    <t>1100SUB0005-00SB0005</t>
  </si>
  <si>
    <t>1100SUB0005-00SB0005-00Q0503</t>
  </si>
  <si>
    <t>6.6Kv Breakers Service</t>
  </si>
  <si>
    <t>1100SUB0005-00TX0028</t>
  </si>
  <si>
    <t>1100SUB0005-00TX0028-25SB0001</t>
  </si>
  <si>
    <t>Substation Integrity Inspect</t>
  </si>
  <si>
    <t>Inspect Thermographic</t>
  </si>
  <si>
    <t>1100SUB0005-00TX0029</t>
  </si>
  <si>
    <t>1100SUB0005-00TX0031</t>
  </si>
  <si>
    <t>1100SUB0007</t>
  </si>
  <si>
    <t>1100SUB0007-00SB0007</t>
  </si>
  <si>
    <t>HV Contactor Card Replace</t>
  </si>
  <si>
    <t>1100SUB0007-00SB0007-00Q0701</t>
  </si>
  <si>
    <t>6.6kV Switch Service</t>
  </si>
  <si>
    <t>1100SUB0007-00SB0007-00Q0702</t>
  </si>
  <si>
    <t>1100SUB0007-00SB0007-00Q0703</t>
  </si>
  <si>
    <t>1100SUB0007-00SB0007-00Q0704</t>
  </si>
  <si>
    <t>1100SUB0007-00SB0007-00Q0705</t>
  </si>
  <si>
    <t>1100SUB0007-00SB0007-00Q0706</t>
  </si>
  <si>
    <t>1100SUB0007-00SB0007-00Q0707</t>
  </si>
  <si>
    <t>1100SUB0007-00SB0007-00Q0712</t>
  </si>
  <si>
    <t>1100SUB0007-00SB0007-00Q0713</t>
  </si>
  <si>
    <t>1100SUB0007-00SB0007-00Q0714</t>
  </si>
  <si>
    <t>1100SUB0007-00SB0007-00Q0715</t>
  </si>
  <si>
    <t>1100SUB0007-00SB0007-00Q0716</t>
  </si>
  <si>
    <t>1100SUB0007-00SB0007-00Q0717</t>
  </si>
  <si>
    <t>1100SUB0007-00TX0049</t>
  </si>
  <si>
    <t>1100SUB0007-00TX0050</t>
  </si>
  <si>
    <t>1100SUB0008</t>
  </si>
  <si>
    <t>Sub 8 Integrity Test</t>
  </si>
  <si>
    <t>1100SUB0008-00SB0008</t>
  </si>
  <si>
    <t>1100SUB0008-00TX0041</t>
  </si>
  <si>
    <t>1100SUB0008-00TX0042</t>
  </si>
  <si>
    <t>1100SUB0008-00TX0054</t>
  </si>
  <si>
    <t>1100SUB0008-00TX0055</t>
  </si>
  <si>
    <t>1100SUB0008-00TX0056</t>
  </si>
  <si>
    <t>1100SUB0008-00TX0057</t>
  </si>
  <si>
    <t>1100SUB0008-00TX0058</t>
  </si>
  <si>
    <t>1100SUB0008-00TX0059</t>
  </si>
  <si>
    <t>1100SUB0009</t>
  </si>
  <si>
    <t>132KV Sub Integrity Test</t>
  </si>
  <si>
    <t>HV/LV PPE Inspect</t>
  </si>
  <si>
    <t>1100SUB0009-00EBC0901</t>
  </si>
  <si>
    <t>Battery/Charger/In INSPECT</t>
  </si>
  <si>
    <t>Inverter Inspect</t>
  </si>
  <si>
    <t>1100SUB0009-00EBI0901</t>
  </si>
  <si>
    <t>1100SUB0009-00SB0009</t>
  </si>
  <si>
    <t>1100SUB0009-00SB0009-00Q0900</t>
  </si>
  <si>
    <t>Circuit Break 22kV Maj Service</t>
  </si>
  <si>
    <t>1100SUB0009-00TX0039</t>
  </si>
  <si>
    <t>1100SUB0010</t>
  </si>
  <si>
    <t>AN2 HV Sub 8 Room Integrity Test</t>
  </si>
  <si>
    <t>1100SUB0010-00EBC1001</t>
  </si>
  <si>
    <t>1100SUB0010-00SB0010</t>
  </si>
  <si>
    <t>1100SUB0010-00SB0010-00Q1002</t>
  </si>
  <si>
    <t>1100SUB0010-00SB0010-00Q1007</t>
  </si>
  <si>
    <t>TRANSDUCER CALIBRATION</t>
  </si>
  <si>
    <t>1100SUB0010-00TX0045</t>
  </si>
  <si>
    <t>1100SUB0010-00TX0046</t>
  </si>
  <si>
    <t>1100SUB0010-00TX0047</t>
  </si>
  <si>
    <t>1100SUB0010-00TX0048</t>
  </si>
  <si>
    <t>1100SUB0010-00TX0052</t>
  </si>
  <si>
    <t>1100SWYD0001</t>
  </si>
  <si>
    <t>CT 132kV Service</t>
  </si>
  <si>
    <t>Insulator 132kV Inspect</t>
  </si>
  <si>
    <t>Surge Arrestor 132kV Service</t>
  </si>
  <si>
    <t>132kV Equip Maintenance</t>
  </si>
  <si>
    <t>1100SWYD0001-00Q0002</t>
  </si>
  <si>
    <t>Circuit Breaker 132kV Service</t>
  </si>
  <si>
    <t>1100SWYD0001-00TX0026</t>
  </si>
  <si>
    <t>Transformer Service</t>
  </si>
  <si>
    <t>T/former Isotainer Hydrostatic Test</t>
  </si>
  <si>
    <t>1100SWYD0001-00TX0027</t>
  </si>
  <si>
    <t>1100T0001</t>
  </si>
  <si>
    <t>Road Drains Maintenance</t>
  </si>
  <si>
    <t>1100T0175</t>
  </si>
  <si>
    <t>Drain Inspect</t>
  </si>
  <si>
    <t>1100T0176</t>
  </si>
  <si>
    <t>Tank Review External</t>
  </si>
  <si>
    <t>Tank Ultrasonic Survey</t>
  </si>
  <si>
    <t>1100T0176-56LIT0403</t>
  </si>
  <si>
    <t>Inst Level Calibrate</t>
  </si>
  <si>
    <t>1100T0321</t>
  </si>
  <si>
    <t>Sump Inspect</t>
  </si>
  <si>
    <t>1100TIT0603</t>
  </si>
  <si>
    <t>Inst Temp Calibrate Tx</t>
  </si>
  <si>
    <t>1100TIT0604</t>
  </si>
  <si>
    <t>1100TIT0906</t>
  </si>
  <si>
    <t>1100TV0603A</t>
  </si>
  <si>
    <t>1100TX0070</t>
  </si>
  <si>
    <t>1100TX0071</t>
  </si>
  <si>
    <t>1100UPS0003</t>
  </si>
  <si>
    <t>UPS Service &amp; Test</t>
  </si>
  <si>
    <t>1100UPS0004</t>
  </si>
  <si>
    <t>1100UPS0037</t>
  </si>
  <si>
    <t>1100UPS0097</t>
  </si>
  <si>
    <t>UPS Maintenance</t>
  </si>
  <si>
    <t>1100UPS0099</t>
  </si>
  <si>
    <t>1100XV0604</t>
  </si>
  <si>
    <t>Sequence Valve Inspect</t>
  </si>
  <si>
    <t>1100XV1602</t>
  </si>
  <si>
    <t>XV Function Test</t>
  </si>
  <si>
    <t>XV Overhaul</t>
  </si>
  <si>
    <t>1100XV1606</t>
  </si>
  <si>
    <t>Test Function XV</t>
  </si>
  <si>
    <t>1100Y0004</t>
  </si>
  <si>
    <t>Pipe Review General</t>
  </si>
  <si>
    <t>1100Y0005</t>
  </si>
  <si>
    <t>Valves Lubricate &amp; Exercise</t>
  </si>
  <si>
    <t>1100Y0009</t>
  </si>
  <si>
    <t>Pipeline Review External</t>
  </si>
  <si>
    <t>1100Y0010</t>
  </si>
  <si>
    <t>Pipeline Ultrasonic Survey</t>
  </si>
  <si>
    <t>Pipelines Review External</t>
  </si>
  <si>
    <t>1100Y0011</t>
  </si>
  <si>
    <t>Pipe Inspect</t>
  </si>
  <si>
    <t>1100Y0012</t>
  </si>
  <si>
    <t>Valve Inspect</t>
  </si>
  <si>
    <t>1100Y0060</t>
  </si>
  <si>
    <t>1100Z0001</t>
  </si>
  <si>
    <t>Fire Equipment Inspect</t>
  </si>
  <si>
    <t>Fire System Report Inspect</t>
  </si>
  <si>
    <t>Fire Hydrant Flow Test</t>
  </si>
  <si>
    <t>Fire Equipment Inspect Ferts</t>
  </si>
  <si>
    <t>Fire Equipment Inspect AMM</t>
  </si>
  <si>
    <t>Fire Equipment Inspect AN1/2</t>
  </si>
  <si>
    <t>Fire Equipment Inspect AN 3</t>
  </si>
  <si>
    <t>Fire Equipment Inspect SCP</t>
  </si>
  <si>
    <t>Fire Equipment Inspect SMP</t>
  </si>
  <si>
    <t>Fire Equipment Inspect AN3</t>
  </si>
  <si>
    <t>Fire Equipment Inspect PP2</t>
  </si>
  <si>
    <t>1100Z0001A</t>
  </si>
  <si>
    <t>Fire Extinguisher Inspect</t>
  </si>
  <si>
    <t>1100Z0001B</t>
  </si>
  <si>
    <t>Fire Hose Inspect</t>
  </si>
  <si>
    <t>1100Z12143-00W11155</t>
  </si>
  <si>
    <t>Manual Valve Inspect</t>
  </si>
  <si>
    <t>1103SB0001</t>
  </si>
  <si>
    <t>ESD Test</t>
  </si>
  <si>
    <t>1103T0002</t>
  </si>
  <si>
    <t>1103T0002-03T0015-03T0011</t>
  </si>
  <si>
    <t>1103T0003</t>
  </si>
  <si>
    <t>1103T0004</t>
  </si>
  <si>
    <t>1103T0005</t>
  </si>
  <si>
    <t>1103T0006</t>
  </si>
  <si>
    <t>1103T0007</t>
  </si>
  <si>
    <t>1103T0008</t>
  </si>
  <si>
    <t>1103T0009</t>
  </si>
  <si>
    <t>1103T0010</t>
  </si>
  <si>
    <t>1103T0012</t>
  </si>
  <si>
    <t>1103T0013</t>
  </si>
  <si>
    <t>1103T0014</t>
  </si>
  <si>
    <t>1108B0001</t>
  </si>
  <si>
    <t>Safety Shower Inspect</t>
  </si>
  <si>
    <t>1108B0981</t>
  </si>
  <si>
    <t>Switchroom Clean</t>
  </si>
  <si>
    <t>1108P0413</t>
  </si>
  <si>
    <t>Pump Protection Test</t>
  </si>
  <si>
    <t>Pump Maintenance</t>
  </si>
  <si>
    <t>1108P0414</t>
  </si>
  <si>
    <t>Temp Tx Verify</t>
  </si>
  <si>
    <t>1108P0426-08MP0426</t>
  </si>
  <si>
    <t>Motor Inspect Major</t>
  </si>
  <si>
    <t>1108P0427-08MP0427</t>
  </si>
  <si>
    <t>1108P0428-08MP0428</t>
  </si>
  <si>
    <t>1108P0429-08MP0429</t>
  </si>
  <si>
    <t>1108P0430</t>
  </si>
  <si>
    <t>Flush Pump Clean</t>
  </si>
  <si>
    <t>1108P0430-08MP0430</t>
  </si>
  <si>
    <t>1108P0431-08MP0431</t>
  </si>
  <si>
    <t>1108PLC0242</t>
  </si>
  <si>
    <t>1108S0515</t>
  </si>
  <si>
    <t>Filter Review External</t>
  </si>
  <si>
    <t>Equipment Number / FLOC</t>
  </si>
  <si>
    <t>TL Description</t>
  </si>
  <si>
    <t>System Condition</t>
  </si>
  <si>
    <t>Operation Long Text
This is the complete text of the long text, organized by logon language
The system will automatically divide the text lines into multiple lines
Type: Text
Length: unrestricted</t>
  </si>
  <si>
    <t>1594Y0010</t>
  </si>
  <si>
    <t>0010</t>
  </si>
  <si>
    <t>XGBS01</t>
  </si>
  <si>
    <t>Pipe Inspect Fresh Water Supply</t>
  </si>
  <si>
    <t>HUR</t>
  </si>
  <si>
    <t>AXGBS</t>
  </si>
  <si>
    <t>INSPECT FRESH WATER SUPPLY_x000D_
Arrange to have Cooling Tower and Environmental Management_x000D_
Facility make-up valves closed. Record main meter reading at afternoon and following morning to determine any usage._x000D_
===============================================_x000D_
JDE MWO: 99005089_x000D_
JDE Description/Issue: Inspect Fresh Water Supply_x000D_
JDE MWO Requestor Reference: _x000D_
JDE MWO Est Hours: 2_x000D_
JDE MWO Est Downtime: 0</t>
  </si>
  <si>
    <t>1594Y15</t>
  </si>
  <si>
    <t>XMMF01</t>
  </si>
  <si>
    <t>Drain Covers Inspect</t>
  </si>
  <si>
    <t>AXMMF</t>
  </si>
  <si>
    <t>Ensure soil buildup is cleaned off drain covers that are subject to accumulation of soil and product build-up_x000D_
Check all drain covers_x000D_
Sign off work order and complete history remarks._x000D_
===============================================_x000D_
JDE MWO: 99203103_x000D_
JDE Description/Issue: Inspect Drain Covers/CHECK DRAIN COVERS_x000D_
JDE MWO Requestor Reference: _x000D_
JDE MWO Est Hours: 4_x000D_
JDE MWO Est Downtime: 0</t>
  </si>
  <si>
    <t>Lined Drains &amp; Pond Inspect</t>
  </si>
  <si>
    <t>JDE MWO: 99202966_x000D_
JDE Description/Issue: Inspect Lined Drains &amp; Pond/MONITOR LINED DRAINS AND POND_x000D_
JDE MWO Requestor Reference: _x000D_
JDE MWO Est Hours: 0_x000D_
JDE MWO Est Downtime: 0</t>
  </si>
  <si>
    <t>WESCEF-CSBP-FER-ALB-NPI</t>
  </si>
  <si>
    <t>XGPL01</t>
  </si>
  <si>
    <t>AXGPL</t>
  </si>
  <si>
    <t>JDE MWO: 99005088_x000D_
JDE Description/Issue: Inspect Safety Shower/INSPECT ALL SAFETY SHOWERS_x000D_
JDE MWO Requestor Reference: _x000D_
JDE MWO Est Hours: 3_x000D_
JDE MWO Est Downtime: 0</t>
  </si>
  <si>
    <t>1544B35</t>
  </si>
  <si>
    <t>AGSP01</t>
  </si>
  <si>
    <t>Stairways Audit (3rd Party)</t>
  </si>
  <si>
    <t>AXARZ</t>
  </si>
  <si>
    <t>JDE MWO: 99859785_x000D_
JDE Description/Issue: Audit (3rd Party)-Stairways/CARBON STEEL STAIRWAYS, WELD FAILURES, CREVICE AND UNDER DEPOSIT CORROSION_x000D_
JDE MWO Requestor Reference: _x000D_
JDE MWO Est Hours: 0_x000D_
JDE MWO Est Downtime: 0</t>
  </si>
  <si>
    <t>FRP Audit (Internal)</t>
  </si>
  <si>
    <t>JDE MWO: 99859782_x000D_
JDE Description/Issue: Audit (Internal)-FRP/EXPOSURE TO HIGH TEMPERATURE_x000D_
JDE MWO Requestor Reference: _x000D_
JDE MWO Est Hours: 0_x000D_
JDE MWO Est Downtime: 0</t>
  </si>
  <si>
    <t>JDE MWO: 99859781_x000D_
JDE Description/Issue: Audit (Internal)-FRP/FRP HANDRAILS / MEMBERS, DETERIORATION OF MATERIAL PROPERTY (E.G. BRITTLENESS)_x000D_
JDE MWO Requestor Reference: _x000D_
JDE MWO Est Hours: 0_x000D_
JDE MWO Est Downtime: 0</t>
  </si>
  <si>
    <t>Sheeting Audit (Internal)</t>
  </si>
  <si>
    <t>JDE MWO: 99859780_x000D_
JDE Description/Issue: Audit (Internal)-Sheeting/ROOF SHEETING WALL CLADDING, MECHANICAL DAMAGE DUE TO WEATHER, DAMAGED HOLD-DOWN_x000D_
JDE MWO Requestor Reference: _x000D_
JDE MWO Est Hours: 0_x000D_
JDE MWO Est Downtime: 0</t>
  </si>
  <si>
    <t>1544B30</t>
  </si>
  <si>
    <t>AGOP01</t>
  </si>
  <si>
    <t>Building Inspect &amp; Clean</t>
  </si>
  <si>
    <t>AAGOP</t>
  </si>
  <si>
    <t>JDE MWO: 99859619_x000D_
JDE Description/Issue: Inspect &amp; Clean Gutters/CHECK AND CLEAN GUTTERS_x000D_
JDE MWO Requestor Reference: _x000D_
JDE MWO Est Hours: 6_x000D_
JDE MWO Est Downtime: 0</t>
  </si>
  <si>
    <t>1544T0339</t>
  </si>
  <si>
    <t>XECE01</t>
  </si>
  <si>
    <t>Bund Sump Inspect</t>
  </si>
  <si>
    <t>AXECE</t>
  </si>
  <si>
    <t>JDE MWO: 99513374_x000D_
JDE Description/Issue: 5Y Sump Inspection/SUMP INSPECTION_x000D_
JDE MWO Requestor Reference: MCO_x000D_
JDE MWO Est Hours: 2_x000D_
JDE MWO Est Downtime: 2</t>
  </si>
  <si>
    <t>BSD</t>
  </si>
  <si>
    <t>Functional Location / Equipment</t>
  </si>
  <si>
    <t>Task List ID</t>
  </si>
  <si>
    <t>Operation Number</t>
  </si>
  <si>
    <t>Work Centre</t>
  </si>
  <si>
    <t>Operation Descr</t>
  </si>
  <si>
    <t>Work</t>
  </si>
  <si>
    <t>Unit for Work</t>
  </si>
  <si>
    <t>Special Skills</t>
  </si>
  <si>
    <t>Qty Resource</t>
  </si>
  <si>
    <t>Duration</t>
  </si>
  <si>
    <t>Duration unit</t>
  </si>
  <si>
    <t>Inspectivity Form</t>
  </si>
  <si>
    <t>Safety Critical</t>
  </si>
  <si>
    <t>Compliance</t>
  </si>
  <si>
    <t>Compliance Standard</t>
  </si>
  <si>
    <t>Fire</t>
  </si>
  <si>
    <t>Maintenance Activity Type</t>
  </si>
  <si>
    <t>PMI Doc No</t>
  </si>
  <si>
    <t>Scoring</t>
  </si>
  <si>
    <t>Likelihood</t>
  </si>
  <si>
    <t>Rare</t>
  </si>
  <si>
    <t xml:space="preserve">Theoretically possible. Unheard of in a comparable facility. </t>
  </si>
  <si>
    <t>1 in 30+ years</t>
  </si>
  <si>
    <t>Unlikely</t>
  </si>
  <si>
    <t xml:space="preserve">Has not occurred in the life of the facility but has occurred in the industry. </t>
  </si>
  <si>
    <t>1 in 10 years</t>
  </si>
  <si>
    <t>Possible</t>
  </si>
  <si>
    <t xml:space="preserve">Has occurred in the life of the facility. Exceptional conditions may allow this event to occur. </t>
  </si>
  <si>
    <t>1 in 5 years</t>
  </si>
  <si>
    <t>Likely</t>
  </si>
  <si>
    <t xml:space="preserve">Has occurred in the life of the facility and/or a number of near misses have occurred. </t>
  </si>
  <si>
    <t>1 per year</t>
  </si>
  <si>
    <t xml:space="preserve"> Almost Certain</t>
  </si>
  <si>
    <t xml:space="preserve">Has occurred and repeated events expected in the facility life. Once a year or more frequently. </t>
  </si>
  <si>
    <t>More than 1 per year</t>
  </si>
  <si>
    <t>Consequence</t>
  </si>
  <si>
    <t>Production Loss (by Plant)</t>
  </si>
  <si>
    <t>Insignificant</t>
  </si>
  <si>
    <t>Less than 12 Hours</t>
  </si>
  <si>
    <t xml:space="preserve">Minor injury or illness (first aid) </t>
  </si>
  <si>
    <t>Minor</t>
  </si>
  <si>
    <t>12 -24Hours</t>
  </si>
  <si>
    <t xml:space="preserve">Medical treatment or Restricted Duties injury or illness </t>
  </si>
  <si>
    <t>Moderate</t>
  </si>
  <si>
    <t>1-3 Days</t>
  </si>
  <si>
    <t xml:space="preserve">Lost Time injury or illness </t>
  </si>
  <si>
    <t>Major</t>
  </si>
  <si>
    <t>3-5 Days</t>
  </si>
  <si>
    <t xml:space="preserve">Serious permanent disability or death (single) </t>
  </si>
  <si>
    <t>Catastrophic</t>
  </si>
  <si>
    <t>More than 5 Days</t>
  </si>
  <si>
    <t xml:space="preserve">Multiple fatalities </t>
  </si>
  <si>
    <t>Detectability</t>
  </si>
  <si>
    <t>Almost Certain Detection</t>
  </si>
  <si>
    <t>Obvious, detection methods reliable e.g. sensors</t>
  </si>
  <si>
    <t>High Probability of Detection</t>
  </si>
  <si>
    <t>Obvious, detection methods mostly reliable e.g. visual inspection</t>
  </si>
  <si>
    <t>Moderate Probability of Detection</t>
  </si>
  <si>
    <t>Not obvious, detection methods less realiable not easily inspected visual inspection</t>
  </si>
  <si>
    <t>Low Probability of Detection</t>
  </si>
  <si>
    <t>Not obvious, specific detection methods required e.g. Non destructive testing</t>
  </si>
  <si>
    <t>Very Low Probability of Detection</t>
  </si>
  <si>
    <t>Not obvious, advanced detection methods required or dissaembly required e.g. destructive testing</t>
  </si>
  <si>
    <t>Activity Type</t>
  </si>
  <si>
    <t>C1</t>
  </si>
  <si>
    <t>Observing Condition - C</t>
  </si>
  <si>
    <t>C2</t>
  </si>
  <si>
    <t>Condition Monitoring</t>
  </si>
  <si>
    <t>C3</t>
  </si>
  <si>
    <t>R1</t>
  </si>
  <si>
    <t>Repair/Restore - R</t>
  </si>
  <si>
    <t>Service</t>
  </si>
  <si>
    <t>R2</t>
  </si>
  <si>
    <t>R3</t>
  </si>
  <si>
    <t>Refurbishment</t>
  </si>
  <si>
    <t>R4</t>
  </si>
  <si>
    <t>R5</t>
  </si>
  <si>
    <t>Reset</t>
  </si>
  <si>
    <t>R6</t>
  </si>
  <si>
    <t>Repair</t>
  </si>
  <si>
    <t>R7</t>
  </si>
  <si>
    <t>Replace</t>
  </si>
  <si>
    <t>P1</t>
  </si>
  <si>
    <t>Projects / Modify - P</t>
  </si>
  <si>
    <t>Modification Minor</t>
  </si>
  <si>
    <t>P2</t>
  </si>
  <si>
    <t>Capital Project</t>
  </si>
  <si>
    <t>P3</t>
  </si>
  <si>
    <t>Major Project</t>
  </si>
  <si>
    <t>N1</t>
  </si>
  <si>
    <t>Non destructive / Special / Asset Integrity - N</t>
  </si>
  <si>
    <t>PIS Commissioning Inspection</t>
  </si>
  <si>
    <t>N2</t>
  </si>
  <si>
    <t>PIS Thorough Inspection</t>
  </si>
  <si>
    <t>N3</t>
  </si>
  <si>
    <t>PIS Review External</t>
  </si>
  <si>
    <t>N4</t>
  </si>
  <si>
    <t>N5</t>
  </si>
  <si>
    <t>PIS CUI Inspection</t>
  </si>
  <si>
    <t>N6</t>
  </si>
  <si>
    <t>PIS Retest PRD</t>
  </si>
  <si>
    <t>G1</t>
  </si>
  <si>
    <t>Operational / General - G</t>
  </si>
  <si>
    <t>Clean</t>
  </si>
  <si>
    <t>G2</t>
  </si>
  <si>
    <t>Operate</t>
  </si>
  <si>
    <t>G3</t>
  </si>
  <si>
    <t>General</t>
  </si>
  <si>
    <t>Mech - Fitter</t>
  </si>
  <si>
    <t>Mech - TA</t>
  </si>
  <si>
    <t>EI - Electrician</t>
  </si>
  <si>
    <t>EI - Electrician HV</t>
  </si>
  <si>
    <t>EI - Instrumentation</t>
  </si>
  <si>
    <t>Operator</t>
  </si>
  <si>
    <t>Civil</t>
  </si>
  <si>
    <t>Plant Inspector</t>
  </si>
  <si>
    <t>Engineer</t>
  </si>
  <si>
    <t xml:space="preserve">Rigger </t>
  </si>
  <si>
    <t>Time UOM</t>
  </si>
  <si>
    <t>Hours</t>
  </si>
  <si>
    <t>Days</t>
  </si>
  <si>
    <t>Months</t>
  </si>
  <si>
    <t>Years</t>
  </si>
  <si>
    <t>Criticality Matrix</t>
  </si>
  <si>
    <t>A</t>
  </si>
  <si>
    <t>B</t>
  </si>
  <si>
    <t>C</t>
  </si>
  <si>
    <t>Many times per year</t>
  </si>
  <si>
    <t>1 per 5 yr</t>
  </si>
  <si>
    <t>1 per 10 yr</t>
  </si>
  <si>
    <t>1 per 30 yr</t>
  </si>
  <si>
    <t>Production</t>
  </si>
  <si>
    <t>0-12hr loss</t>
  </si>
  <si>
    <t>12-24hr loss</t>
  </si>
  <si>
    <t>1-3day loss</t>
  </si>
  <si>
    <t>3-5day loss</t>
  </si>
  <si>
    <t>5+ day loss</t>
  </si>
  <si>
    <t>Environ</t>
  </si>
  <si>
    <t>Extreme</t>
  </si>
  <si>
    <t>High</t>
  </si>
  <si>
    <t>Low</t>
  </si>
  <si>
    <t>Equipment Number</t>
  </si>
  <si>
    <t>Desscription</t>
  </si>
  <si>
    <t>Asset Class</t>
  </si>
  <si>
    <t>Object Type</t>
  </si>
  <si>
    <t>Parent Asset</t>
  </si>
  <si>
    <t>Discipline</t>
  </si>
  <si>
    <t>Asset Make</t>
  </si>
  <si>
    <t>Asset Model</t>
  </si>
  <si>
    <t>Asset Department</t>
  </si>
  <si>
    <t>Safety Critical Code</t>
  </si>
  <si>
    <t>Compliance Code</t>
  </si>
  <si>
    <t>Environmental Code</t>
  </si>
  <si>
    <t>EEHA Code</t>
  </si>
  <si>
    <t>Asset Criticality ABC</t>
  </si>
  <si>
    <t>1150MP0052</t>
  </si>
  <si>
    <t>Motor cooling water pump</t>
  </si>
  <si>
    <t>EMOT</t>
  </si>
  <si>
    <t>MOT</t>
  </si>
  <si>
    <t>1150P0052</t>
  </si>
  <si>
    <t>Electrical</t>
  </si>
  <si>
    <t>WEG</t>
  </si>
  <si>
    <t>Ammonia</t>
  </si>
  <si>
    <t>Long Text</t>
  </si>
  <si>
    <t>long text description</t>
  </si>
  <si>
    <t>Location</t>
  </si>
  <si>
    <t>AAN Block 1 Level 2</t>
  </si>
  <si>
    <t>Cost Centre</t>
  </si>
  <si>
    <t>planner group</t>
  </si>
  <si>
    <t>E01</t>
  </si>
  <si>
    <t>Pump Cooling water</t>
  </si>
  <si>
    <t>AMM</t>
  </si>
  <si>
    <t>MPMC</t>
  </si>
  <si>
    <t>PMP</t>
  </si>
  <si>
    <t>SULZER</t>
  </si>
  <si>
    <t>ELEC01</t>
  </si>
  <si>
    <t>MECH02</t>
  </si>
  <si>
    <t>M02</t>
  </si>
  <si>
    <t>Process Code</t>
  </si>
  <si>
    <t>Water</t>
  </si>
  <si>
    <t>Elec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</si>
</sst>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b/>
      <sz val="14"/>
      <name val="Aptos Narrow"/>
      <family val="2"/>
      <scheme val="minor"/>
    </font>
    <font>
      <b/>
      <sz val="14"/>
      <color theme="0"/>
      <name val="Aptos Narrow"/>
      <family val="2"/>
      <scheme val="minor"/>
    </font>
    <font>
      <b/>
      <sz val="9"/>
      <color rgb="FF000000"/>
      <name val="Tahoma"/>
      <family val="2"/>
    </font>
    <font>
      <sz val="9"/>
      <color rgb="FF000000"/>
      <name val="Tahoma"/>
      <family val="2"/>
    </font>
    <font>
      <b/>
      <sz val="9"/>
      <color indexed="81"/>
      <name val="Tahoma"/>
      <family val="2"/>
    </font>
    <font>
      <sz val="9"/>
      <color indexed="81"/>
      <name val="Tahoma"/>
      <family val="2"/>
    </font>
    <font>
      <sz val="10"/>
      <color indexed="8"/>
      <name val="Arial"/>
      <family val="2"/>
    </font>
    <font>
      <sz val="9"/>
      <color indexed="8"/>
      <name val="Calibri"/>
      <family val="2"/>
    </font>
    <font>
      <b/>
      <sz val="9"/>
      <color rgb="FF000000"/>
      <name val="Calibri"/>
      <family val="2"/>
    </font>
    <font>
      <sz val="8"/>
      <color indexed="8"/>
      <name val="Arial"/>
      <family val="2"/>
    </font>
    <font>
      <b/>
      <sz val="12"/>
      <color theme="1"/>
      <name val="Aptos Narrow"/>
      <family val="2"/>
      <scheme val="minor"/>
    </font>
    <font>
      <b/>
      <sz val="10"/>
      <color rgb="FF000000"/>
      <name val="Arial Nova"/>
      <family val="2"/>
    </font>
    <font>
      <sz val="10"/>
      <color rgb="FF000000"/>
      <name val="Arial Nova"/>
      <family val="2"/>
    </font>
    <font>
      <b/>
      <sz val="12"/>
      <color rgb="FF000000"/>
      <name val="Arial Nova"/>
      <family val="2"/>
    </font>
    <font>
      <b/>
      <sz val="12"/>
      <color theme="1"/>
      <name val="Arial Nova"/>
      <family val="2"/>
    </font>
    <font>
      <sz val="10"/>
      <color theme="1"/>
      <name val="Arial Nova"/>
      <family val="2"/>
    </font>
    <font>
      <sz val="10"/>
      <color rgb="FF424242"/>
      <name val="Arial Nova"/>
      <family val="2"/>
    </font>
    <font>
      <b/>
      <sz val="11"/>
      <color theme="1"/>
      <name val="Aptos Narrow"/>
      <family val="2"/>
      <scheme val="minor"/>
    </font>
  </fonts>
  <fills count="16">
    <fill>
      <patternFill patternType="none"/>
    </fill>
    <fill>
      <patternFill patternType="gray125"/>
    </fill>
    <fill>
      <patternFill patternType="solid">
        <fgColor theme="0" tint="-0.34998626667073579"/>
        <bgColor indexed="64"/>
      </patternFill>
    </fill>
    <fill>
      <patternFill patternType="solid">
        <fgColor theme="9"/>
        <bgColor theme="9"/>
      </patternFill>
    </fill>
    <fill>
      <patternFill patternType="solid">
        <fgColor rgb="FF00B0F0"/>
        <bgColor indexed="64"/>
      </patternFill>
    </fill>
    <fill>
      <patternFill patternType="solid">
        <fgColor rgb="FFC9C4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0" tint="-0.14999847407452621"/>
        <bgColor theme="0" tint="-0.14999847407452621"/>
      </patternFill>
    </fill>
    <fill>
      <patternFill patternType="solid">
        <fgColor theme="6" tint="0.39997558519241921"/>
        <bgColor indexed="0"/>
      </patternFill>
    </fill>
    <fill>
      <patternFill patternType="solid">
        <fgColor theme="1"/>
        <bgColor indexed="0"/>
      </patternFill>
    </fill>
    <fill>
      <patternFill patternType="solid">
        <fgColor theme="0" tint="-0.14999847407452621"/>
        <bgColor indexed="0"/>
      </patternFill>
    </fill>
    <fill>
      <patternFill patternType="solid">
        <fgColor theme="1"/>
        <bgColor indexed="64"/>
      </patternFill>
    </fill>
    <fill>
      <patternFill patternType="solid">
        <fgColor rgb="FFFFFF00"/>
        <bgColor indexed="64"/>
      </patternFill>
    </fill>
    <fill>
      <patternFill patternType="solid">
        <fgColor rgb="FFEFF4F9"/>
        <bgColor indexed="64"/>
      </patternFill>
    </fill>
    <fill>
      <patternFill patternType="solid">
        <fgColor theme="0"/>
        <bgColor indexed="64"/>
      </patternFill>
    </fill>
  </fills>
  <borders count="8">
    <border>
      <left/>
      <right/>
      <top/>
      <bottom/>
      <diagonal/>
    </border>
    <border>
      <left/>
      <right/>
      <top style="medium">
        <color theme="1"/>
      </top>
      <bottom style="medium">
        <color theme="1"/>
      </bottom>
      <diagonal/>
    </border>
    <border>
      <left style="thin">
        <color indexed="8"/>
      </left>
      <right style="thin">
        <color indexed="8"/>
      </right>
      <top/>
      <bottom style="thin">
        <color indexed="8"/>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7" fillId="0" borderId="0"/>
  </cellStyleXfs>
  <cellXfs count="45">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1" fontId="1" fillId="4" borderId="1" xfId="0" applyNumberFormat="1" applyFont="1" applyFill="1" applyBorder="1" applyAlignment="1">
      <alignment horizontal="center" vertical="top" wrapText="1"/>
    </xf>
    <xf numFmtId="0" fontId="1" fillId="5" borderId="1" xfId="0" applyFont="1" applyFill="1" applyBorder="1" applyAlignment="1">
      <alignment horizontal="left" vertical="top" wrapText="1"/>
    </xf>
    <xf numFmtId="2" fontId="1" fillId="5" borderId="1" xfId="0" applyNumberFormat="1" applyFont="1" applyFill="1" applyBorder="1" applyAlignment="1">
      <alignment horizontal="left" vertical="top" wrapText="1"/>
    </xf>
    <xf numFmtId="1" fontId="1" fillId="5" borderId="1" xfId="0" applyNumberFormat="1" applyFont="1" applyFill="1" applyBorder="1" applyAlignment="1">
      <alignment horizontal="left" vertical="top" wrapText="1"/>
    </xf>
    <xf numFmtId="2" fontId="1" fillId="3" borderId="1" xfId="0" applyNumberFormat="1" applyFont="1" applyFill="1" applyBorder="1" applyAlignment="1">
      <alignment horizontal="left" vertical="top" wrapText="1"/>
    </xf>
    <xf numFmtId="0" fontId="1" fillId="6" borderId="1" xfId="0" applyFont="1" applyFill="1" applyBorder="1" applyAlignment="1">
      <alignment horizontal="left" vertical="top" wrapText="1"/>
    </xf>
    <xf numFmtId="2" fontId="1" fillId="6" borderId="1" xfId="0" applyNumberFormat="1" applyFont="1" applyFill="1" applyBorder="1" applyAlignment="1">
      <alignment horizontal="left" vertical="top" wrapText="1"/>
    </xf>
    <xf numFmtId="0" fontId="1" fillId="7" borderId="1" xfId="0" applyFont="1" applyFill="1" applyBorder="1" applyAlignment="1">
      <alignment horizontal="left" vertical="top" wrapText="1"/>
    </xf>
    <xf numFmtId="2" fontId="1" fillId="7" borderId="1" xfId="0" applyNumberFormat="1" applyFont="1" applyFill="1" applyBorder="1" applyAlignment="1">
      <alignment horizontal="left" vertical="top" wrapText="1"/>
    </xf>
    <xf numFmtId="0" fontId="2" fillId="3" borderId="1" xfId="0" applyFont="1" applyFill="1" applyBorder="1" applyAlignment="1">
      <alignment horizontal="left" vertical="top" wrapText="1"/>
    </xf>
    <xf numFmtId="0" fontId="0" fillId="8" borderId="0" xfId="0" applyFill="1"/>
    <xf numFmtId="0" fontId="0" fillId="8" borderId="0" xfId="0" applyFill="1" applyAlignment="1">
      <alignment horizontal="center"/>
    </xf>
    <xf numFmtId="0" fontId="0" fillId="0" borderId="0" xfId="0" applyAlignment="1">
      <alignment horizontal="center"/>
    </xf>
    <xf numFmtId="0" fontId="8" fillId="9" borderId="2" xfId="1" applyFont="1" applyFill="1" applyBorder="1" applyAlignment="1">
      <alignment horizontal="center" vertical="center" wrapText="1"/>
    </xf>
    <xf numFmtId="0" fontId="8" fillId="10" borderId="2" xfId="1" applyFont="1" applyFill="1" applyBorder="1" applyAlignment="1">
      <alignment horizontal="center" vertical="center" wrapText="1"/>
    </xf>
    <xf numFmtId="0" fontId="8" fillId="11" borderId="2" xfId="1" applyFont="1" applyFill="1" applyBorder="1" applyAlignment="1">
      <alignment horizontal="center" vertical="center" wrapText="1"/>
    </xf>
    <xf numFmtId="0" fontId="8" fillId="0" borderId="3" xfId="1" applyFont="1" applyBorder="1" applyAlignment="1">
      <alignment horizontal="center" vertical="top" wrapText="1"/>
    </xf>
    <xf numFmtId="0" fontId="8" fillId="0" borderId="3" xfId="1" applyFont="1" applyBorder="1" applyAlignment="1">
      <alignment vertical="top" wrapText="1"/>
    </xf>
    <xf numFmtId="0" fontId="8" fillId="0" borderId="3" xfId="1" applyFont="1" applyBorder="1" applyAlignment="1">
      <alignment horizontal="left" vertical="top" wrapText="1"/>
    </xf>
    <xf numFmtId="0" fontId="8" fillId="12" borderId="3" xfId="1" applyFont="1" applyFill="1" applyBorder="1" applyAlignment="1">
      <alignment vertical="top" wrapText="1"/>
    </xf>
    <xf numFmtId="0" fontId="8" fillId="13" borderId="3" xfId="1" applyFont="1" applyFill="1" applyBorder="1" applyAlignment="1">
      <alignment vertical="top" wrapText="1"/>
    </xf>
    <xf numFmtId="0" fontId="8" fillId="0" borderId="4" xfId="1" applyFont="1" applyBorder="1" applyAlignment="1">
      <alignment horizontal="center" vertical="top" wrapText="1"/>
    </xf>
    <xf numFmtId="0" fontId="8" fillId="0" borderId="4" xfId="1" applyFont="1" applyBorder="1" applyAlignment="1">
      <alignment horizontal="left" vertical="top" wrapText="1"/>
    </xf>
    <xf numFmtId="0" fontId="10" fillId="14" borderId="5" xfId="0" applyFont="1" applyFill="1" applyBorder="1" applyAlignment="1">
      <alignment horizontal="center" vertical="top" wrapText="1"/>
    </xf>
    <xf numFmtId="49" fontId="7" fillId="0" borderId="0" xfId="0" applyNumberFormat="1" applyFont="1" applyProtection="1">
      <protection locked="0"/>
    </xf>
    <xf numFmtId="1" fontId="7" fillId="0" borderId="0" xfId="0" applyNumberFormat="1" applyFont="1" applyProtection="1">
      <protection locked="0"/>
    </xf>
    <xf numFmtId="164" fontId="7" fillId="0" borderId="0" xfId="0" applyNumberFormat="1" applyFont="1" applyProtection="1">
      <protection locked="0"/>
    </xf>
    <xf numFmtId="0" fontId="11" fillId="0" borderId="0" xfId="0" applyFont="1"/>
    <xf numFmtId="0" fontId="12"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14" fillId="15" borderId="7" xfId="0" applyFont="1" applyFill="1" applyBorder="1" applyAlignment="1">
      <alignment horizontal="center" vertical="center" wrapText="1"/>
    </xf>
    <xf numFmtId="0" fontId="15" fillId="15" borderId="6" xfId="0" applyFont="1" applyFill="1" applyBorder="1" applyAlignment="1">
      <alignment horizontal="center" vertical="center"/>
    </xf>
    <xf numFmtId="0" fontId="16" fillId="0" borderId="0" xfId="0" applyFont="1" applyAlignment="1">
      <alignment horizontal="center"/>
    </xf>
    <xf numFmtId="0" fontId="11" fillId="0" borderId="0" xfId="0" applyFont="1" applyAlignment="1">
      <alignment horizontal="center"/>
    </xf>
    <xf numFmtId="0" fontId="16" fillId="0" borderId="6" xfId="0" applyFont="1" applyBorder="1" applyAlignment="1">
      <alignment horizontal="center" vertical="center"/>
    </xf>
    <xf numFmtId="0" fontId="16" fillId="0" borderId="6" xfId="0" applyFont="1" applyBorder="1" applyAlignment="1">
      <alignment horizontal="center"/>
    </xf>
    <xf numFmtId="0" fontId="17" fillId="0" borderId="6"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vertical="center"/>
    </xf>
    <xf numFmtId="0" fontId="0" fillId="0" borderId="6" xfId="0" applyBorder="1" applyAlignment="1">
      <alignment horizontal="center"/>
    </xf>
    <xf numFmtId="0" fontId="18" fillId="0" borderId="0" xfId="0" applyFont="1"/>
  </cellXfs>
  <cellStyles count="2">
    <cellStyle name="Normal" xfId="0" builtinId="0"/>
    <cellStyle name="Normal_Sheet1" xfId="1" xr:uid="{6489BB43-7281-4AB0-8C27-AD6F466E1859}"/>
  </cellStyles>
  <dxfs count="55">
    <dxf>
      <border>
        <top style="thin">
          <color auto="1"/>
        </top>
        <vertical/>
        <horizontal/>
      </border>
    </dxf>
    <dxf>
      <font>
        <color theme="0"/>
      </font>
      <fill>
        <patternFill>
          <bgColor rgb="FF2A3442"/>
        </patternFill>
      </fill>
    </dxf>
    <dxf>
      <font>
        <color auto="1"/>
      </font>
      <fill>
        <patternFill>
          <bgColor rgb="FF788DA8"/>
        </patternFill>
      </fill>
    </dxf>
    <dxf>
      <font>
        <color auto="1"/>
      </font>
      <fill>
        <patternFill>
          <bgColor rgb="FFDCE1E8"/>
        </patternFill>
      </fill>
    </dxf>
    <dxf>
      <font>
        <color auto="1"/>
      </font>
      <fill>
        <patternFill>
          <bgColor theme="0" tint="-0.34998626667073579"/>
        </patternFill>
      </fill>
    </dxf>
    <dxf>
      <font>
        <color theme="1"/>
      </font>
      <fill>
        <patternFill>
          <bgColor theme="0" tint="-0.34998626667073579"/>
        </patternFill>
      </fill>
    </dxf>
    <dxf>
      <font>
        <color theme="1"/>
      </font>
      <fill>
        <patternFill>
          <bgColor rgb="FF92D050"/>
        </patternFill>
      </fill>
    </dxf>
    <dxf>
      <font>
        <color theme="1"/>
      </font>
      <fill>
        <patternFill>
          <bgColor rgb="FFFFFF00"/>
        </patternFill>
      </fill>
    </dxf>
    <dxf>
      <font>
        <color auto="1"/>
      </font>
      <fill>
        <patternFill>
          <bgColor rgb="FFFFC000"/>
        </patternFill>
      </fill>
    </dxf>
    <dxf>
      <font>
        <color theme="0"/>
      </font>
      <fill>
        <patternFill>
          <bgColor rgb="FFFF0000"/>
        </patternFill>
      </fill>
    </dxf>
    <dxf>
      <font>
        <color theme="0"/>
      </font>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C00000"/>
        </patternFill>
      </fill>
    </dxf>
    <dxf>
      <fill>
        <patternFill>
          <bgColor theme="0" tint="-0.34998626667073579"/>
        </patternFill>
      </fill>
    </dxf>
    <dxf>
      <font>
        <color rgb="FFBE0006"/>
      </font>
      <fill>
        <patternFill>
          <bgColor rgb="FFFFC7CE"/>
        </patternFill>
      </fill>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family val="2"/>
        <scheme val="none"/>
      </font>
      <alignment horizontal="general"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alignment horizontal="general"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numFmt numFmtId="0" formatCode="General"/>
      <alignment horizontal="center"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alignment horizontal="center"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alignment horizontal="center"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alignment horizontal="center"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fill>
        <patternFill>
          <bgColor theme="1"/>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alignment horizontal="general"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alignment horizontal="general"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alignment horizontal="general"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9"/>
        <color indexed="8"/>
        <name val="Calibri"/>
        <scheme val="none"/>
      </font>
      <alignment horizontal="center"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alignment horizontal="general"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alignment horizontal="center"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alignment horizontal="center" vertical="top"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top" textRotation="0" wrapText="1" indent="0" justifyLastLine="0" shrinkToFit="0" readingOrder="0"/>
    </dxf>
    <dxf>
      <border outline="0">
        <bottom style="thin">
          <color indexed="8"/>
        </bottom>
      </border>
    </dxf>
    <dxf>
      <font>
        <b val="0"/>
        <i val="0"/>
        <strike val="0"/>
        <condense val="0"/>
        <extend val="0"/>
        <outline val="0"/>
        <shadow val="0"/>
        <u val="none"/>
        <vertAlign val="baseline"/>
        <sz val="9"/>
        <color indexed="8"/>
        <name val="Calibri"/>
        <scheme val="none"/>
      </font>
      <fill>
        <patternFill patternType="solid">
          <fgColor indexed="0"/>
          <bgColor theme="6" tint="0.39997558519241921"/>
        </patternFill>
      </fill>
      <alignment horizontal="center" vertical="center" textRotation="0" wrapText="1" indent="0" justifyLastLine="0" shrinkToFit="0" readingOrder="0"/>
      <border diagonalUp="0" diagonalDown="0" outline="0">
        <left style="thin">
          <color indexed="8"/>
        </left>
        <right style="thin">
          <color indexed="8"/>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54AA7A-77ED-47EF-ADC9-C19BFE38AAF0}" name="Table1" displayName="Table1" ref="A1:AF39" totalsRowShown="0" headerRowDxfId="54" dataDxfId="52" headerRowBorderDxfId="53" tableBorderDxfId="51" totalsRowBorderDxfId="50" headerRowCellStyle="Normal_Sheet1" dataCellStyle="Normal_Sheet1">
  <autoFilter ref="A1:AF39" xr:uid="{2654AA7A-77ED-47EF-ADC9-C19BFE38AAF0}"/>
  <tableColumns count="32">
    <tableColumn id="1" xr3:uid="{436BD4CA-2F77-4B07-99BA-16300EB53156}" name="Equipment" dataDxfId="49" dataCellStyle="Normal_Sheet1"/>
    <tableColumn id="24" xr3:uid="{7615796C-404B-45FA-AD65-9236930E5AF7}" name="Subclass / Type" dataDxfId="48" dataCellStyle="Normal_Sheet1"/>
    <tableColumn id="25" xr3:uid="{7FB87C11-7FE5-43C5-B7CC-24C8084621A8}" name="Variant" dataDxfId="47" dataCellStyle="Normal_Sheet1"/>
    <tableColumn id="32" xr3:uid="{3A9F02DA-1693-49A8-9CE5-FB3DCE4E4299}" name="Components" dataDxfId="46" dataCellStyle="Normal_Sheet1"/>
    <tableColumn id="26" xr3:uid="{DFD9A2B1-C570-43C0-AF4C-DCA33FCA9A92}" name="Operating Context" dataDxfId="45" dataCellStyle="Normal_Sheet1"/>
    <tableColumn id="2" xr3:uid="{457F90E2-1F21-4295-903D-783E3AD714BE}" name="Function" dataDxfId="44" dataCellStyle="Normal_Sheet1"/>
    <tableColumn id="3" xr3:uid="{FE67A7DE-CE1E-4A78-ADE4-5FC285EB8963}" name="Functional Failure" dataDxfId="43" dataCellStyle="Normal_Sheet1"/>
    <tableColumn id="4" xr3:uid="{73FBC46F-2B15-400A-8358-4F55D7F70740}" name="Failure Mode" dataDxfId="42" dataCellStyle="Normal_Sheet1"/>
    <tableColumn id="22" xr3:uid="{8D3BFB30-E143-44F8-9F5D-04DAA73297B1}" name="Failure Mechanism" dataDxfId="41" dataCellStyle="Normal_Sheet1"/>
    <tableColumn id="23" xr3:uid="{16581076-C387-42F8-BE11-0087EE415E3A}" name="Failure Cause" dataDxfId="40" dataCellStyle="Normal_Sheet1"/>
    <tableColumn id="5" xr3:uid="{F1425270-B5D7-45B3-9F49-A9CECFD2366D}" name="Failure Effect" dataDxfId="39" dataCellStyle="Normal_Sheet1"/>
    <tableColumn id="20" xr3:uid="{C178A8A0-D05D-484A-9FEC-675B9D7F828E}" name="Detectable under normal conditions?_x000a_Or Hidden?" dataDxfId="38" dataCellStyle="Normal_Sheet1"/>
    <tableColumn id="19" xr3:uid="{5E02B98D-F3AC-4BE6-AC8A-B96BD4F51C32}" name="Column1" dataDxfId="37" dataCellStyle="Normal_Sheet1"/>
    <tableColumn id="6" xr3:uid="{6434A175-0047-4D4B-BC59-10B44F161DAC}" name="Consequence Type" dataDxfId="36" dataCellStyle="Normal_Sheet1"/>
    <tableColumn id="30" xr3:uid="{E06E77A0-447C-4642-8183-AE7A077CAE33}" name="Consequence [1..5]" dataDxfId="35" dataCellStyle="Normal_Sheet1"/>
    <tableColumn id="29" xr3:uid="{EA8161B0-4B8E-40FB-AB8F-1CF4FD220763}" name="Likelihood [1..5]" dataDxfId="34" dataCellStyle="Normal_Sheet1"/>
    <tableColumn id="28" xr3:uid="{44C93EA8-E137-4005-BA32-604314666360}" name="Detectability [1..5]" dataDxfId="33" dataCellStyle="Normal_Sheet1"/>
    <tableColumn id="27" xr3:uid="{35458CF9-4EB4-4487-8E64-6A96AB6E2338}" name="RPN [/75]" dataDxfId="32" dataCellStyle="Normal_Sheet1">
      <calculatedColumnFormula>Table1[[#This Row],[Consequence '[1..5']]]*Table1[[#This Row],[Likelihood '[1..5']]]*Table1[[#This Row],[Detectability '[1..5']]]</calculatedColumnFormula>
    </tableColumn>
    <tableColumn id="7" xr3:uid="{EB7FF54E-66D2-46CA-B35E-6D3D61623A3A}" name="Task Description" dataDxfId="31" dataCellStyle="Normal_Sheet1"/>
    <tableColumn id="8" xr3:uid="{07EE33A0-E300-4A3C-AFEA-F9300CFA82B9}" name="Task Acceptable Conditions" dataDxfId="30" dataCellStyle="Normal_Sheet1"/>
    <tableColumn id="31" xr3:uid="{41BA6F65-03DC-48E7-B8B9-61E5479D07F4}" name="Corrective Action" dataDxfId="29" dataCellStyle="Normal_Sheet1"/>
    <tableColumn id="12" xr3:uid="{A06A2656-2FCA-444B-8B09-E35C602205BE}" name="Maintenance Activity Type" dataDxfId="28" dataCellStyle="Normal_Sheet1"/>
    <tableColumn id="33" xr3:uid="{83B9D75C-A7BA-4A84-9C08-A4B867DB3F14}" name="Task List ID" dataDxfId="27" dataCellStyle="Normal_Sheet1"/>
    <tableColumn id="9" xr3:uid="{08C3E417-5624-44F2-B920-B2AD98E22D45}" name=" Interval" dataDxfId="26" dataCellStyle="Normal_Sheet1"/>
    <tableColumn id="10" xr3:uid="{44CCAD3A-0BDD-417C-A228-543176E60019}" name="Units" dataDxfId="25" dataCellStyle="Normal_Sheet1"/>
    <tableColumn id="11" xr3:uid="{E4415DE6-2672-4D55-9C4A-96A0A3737100}" name="Trade" dataDxfId="24" dataCellStyle="Normal_Sheet1"/>
    <tableColumn id="18" xr3:uid="{686E9EEF-5F7E-4F1E-A3BE-7BB86609FB02}" name="Manning" dataDxfId="23" dataCellStyle="Normal_Sheet1"/>
    <tableColumn id="17" xr3:uid="{7E04D812-ADE6-420A-8ECA-6544CB0DD46C}" name="Duration Hr" dataDxfId="22" dataCellStyle="Normal_Sheet1"/>
    <tableColumn id="13" xr3:uid="{448A3904-AC75-4AE4-B192-401C984D337C}" name="Location Photo" dataDxfId="21" dataCellStyle="Normal_Sheet1"/>
    <tableColumn id="14" xr3:uid="{A16EB1BB-0ADB-4729-85FD-BB685BA234E9}" name="Documents" dataDxfId="20" dataCellStyle="Normal_Sheet1"/>
    <tableColumn id="15" xr3:uid="{4B26E8E3-09F6-4CE5-8D79-A60D85904470}" name="Safety / Hazards / PPE" dataDxfId="19" dataCellStyle="Normal_Sheet1"/>
    <tableColumn id="16" xr3:uid="{F0C49C0E-2D29-45CC-BADA-2D1A474C23F0}" name="Resources / Tools / Special Equipment" dataDxfId="18" dataCellStyle="Normal_Sheet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FBF89-7F2F-472B-8C5A-E08B63CF669F}">
  <dimension ref="A1:AY22"/>
  <sheetViews>
    <sheetView topLeftCell="Y1" workbookViewId="0">
      <selection activeCell="AO16" sqref="AO16"/>
    </sheetView>
  </sheetViews>
  <sheetFormatPr defaultRowHeight="15" x14ac:dyDescent="0.25"/>
  <sheetData>
    <row r="1" spans="1:51" ht="75.75" thickBot="1" x14ac:dyDescent="0.3">
      <c r="A1" s="1" t="s">
        <v>0</v>
      </c>
      <c r="B1" s="1" t="s">
        <v>1</v>
      </c>
      <c r="C1" s="1"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4" t="s">
        <v>19</v>
      </c>
      <c r="U1" s="3" t="s">
        <v>20</v>
      </c>
      <c r="V1" s="3" t="s">
        <v>21</v>
      </c>
      <c r="W1" s="3" t="s">
        <v>22</v>
      </c>
      <c r="X1" s="3" t="s">
        <v>23</v>
      </c>
      <c r="Y1" s="3" t="s">
        <v>24</v>
      </c>
      <c r="Z1" s="5" t="s">
        <v>25</v>
      </c>
      <c r="AA1" s="6" t="s">
        <v>26</v>
      </c>
      <c r="AB1" s="5" t="s">
        <v>27</v>
      </c>
      <c r="AC1" s="7" t="s">
        <v>28</v>
      </c>
      <c r="AD1" s="7" t="s">
        <v>29</v>
      </c>
      <c r="AE1" s="2" t="s">
        <v>30</v>
      </c>
      <c r="AF1" s="8" t="s">
        <v>31</v>
      </c>
      <c r="AG1" s="2" t="s">
        <v>32</v>
      </c>
      <c r="AH1" s="2" t="s">
        <v>33</v>
      </c>
      <c r="AI1" s="2" t="s">
        <v>34</v>
      </c>
      <c r="AJ1" s="9" t="s">
        <v>35</v>
      </c>
      <c r="AK1" s="10" t="s">
        <v>36</v>
      </c>
      <c r="AL1" s="9" t="s">
        <v>37</v>
      </c>
      <c r="AM1" s="9" t="s">
        <v>38</v>
      </c>
      <c r="AN1" s="9" t="s">
        <v>39</v>
      </c>
      <c r="AO1" s="11" t="s">
        <v>40</v>
      </c>
      <c r="AP1" s="12" t="s">
        <v>41</v>
      </c>
      <c r="AQ1" s="11" t="s">
        <v>42</v>
      </c>
      <c r="AR1" s="11" t="s">
        <v>43</v>
      </c>
      <c r="AS1" s="11" t="s">
        <v>44</v>
      </c>
      <c r="AT1" s="1" t="s">
        <v>45</v>
      </c>
      <c r="AU1" s="1" t="s">
        <v>46</v>
      </c>
      <c r="AV1" s="1" t="s">
        <v>47</v>
      </c>
      <c r="AW1" s="13" t="s">
        <v>48</v>
      </c>
      <c r="AX1" s="1" t="s">
        <v>49</v>
      </c>
      <c r="AY1" s="1" t="s">
        <v>50</v>
      </c>
    </row>
    <row r="2" spans="1:51" x14ac:dyDescent="0.25">
      <c r="A2" s="14">
        <v>28123</v>
      </c>
      <c r="B2" s="14" t="s">
        <v>51</v>
      </c>
      <c r="C2" s="14" t="b">
        <v>0</v>
      </c>
      <c r="D2" s="14" t="s">
        <v>52</v>
      </c>
      <c r="E2" s="14">
        <v>148692</v>
      </c>
      <c r="F2" s="14" t="s">
        <v>53</v>
      </c>
      <c r="G2" s="14" t="s">
        <v>54</v>
      </c>
      <c r="H2" s="14" t="s">
        <v>55</v>
      </c>
      <c r="I2" s="14" t="s">
        <v>56</v>
      </c>
      <c r="J2" s="14"/>
      <c r="K2" s="14" t="s">
        <v>57</v>
      </c>
      <c r="L2" s="14" t="s">
        <v>58</v>
      </c>
      <c r="M2" s="14" t="s">
        <v>59</v>
      </c>
      <c r="N2" s="15"/>
      <c r="O2" s="15"/>
      <c r="P2" s="15"/>
      <c r="Q2" s="15"/>
      <c r="R2" s="15"/>
      <c r="S2" s="15"/>
      <c r="T2" s="15"/>
      <c r="U2" s="15"/>
      <c r="V2" s="15"/>
      <c r="W2" s="15"/>
      <c r="X2" s="15"/>
      <c r="Y2" s="15"/>
      <c r="Z2" s="15"/>
      <c r="AA2" s="15"/>
      <c r="AB2" s="15" t="s">
        <v>60</v>
      </c>
      <c r="AC2" s="15" t="s">
        <v>60</v>
      </c>
      <c r="AD2" s="15" t="s">
        <v>60</v>
      </c>
      <c r="AE2" s="15"/>
      <c r="AF2" s="15"/>
      <c r="AG2" s="15" t="s">
        <v>60</v>
      </c>
      <c r="AH2" s="15" t="s">
        <v>60</v>
      </c>
      <c r="AI2" s="15" t="s">
        <v>60</v>
      </c>
      <c r="AJ2" s="15"/>
      <c r="AK2" s="15"/>
      <c r="AL2" s="15" t="s">
        <v>60</v>
      </c>
      <c r="AM2" s="15" t="s">
        <v>60</v>
      </c>
      <c r="AN2" s="15" t="s">
        <v>60</v>
      </c>
      <c r="AO2" s="15" t="s">
        <v>61</v>
      </c>
      <c r="AP2" s="15" t="s">
        <v>62</v>
      </c>
      <c r="AQ2" s="15" t="s">
        <v>63</v>
      </c>
      <c r="AR2" s="15" t="s">
        <v>63</v>
      </c>
      <c r="AS2" s="15">
        <v>1</v>
      </c>
      <c r="AT2" s="15" t="s">
        <v>63</v>
      </c>
      <c r="AU2" s="15" t="s">
        <v>64</v>
      </c>
      <c r="AV2" s="15" t="s">
        <v>65</v>
      </c>
      <c r="AW2" s="14"/>
      <c r="AX2" s="15" t="s">
        <v>66</v>
      </c>
      <c r="AY2" s="15" t="s">
        <v>67</v>
      </c>
    </row>
    <row r="3" spans="1:51" x14ac:dyDescent="0.25">
      <c r="A3">
        <v>28124</v>
      </c>
      <c r="B3" t="s">
        <v>51</v>
      </c>
      <c r="C3" t="b">
        <v>0</v>
      </c>
      <c r="D3" t="s">
        <v>68</v>
      </c>
      <c r="E3">
        <v>148693</v>
      </c>
      <c r="F3" t="s">
        <v>69</v>
      </c>
      <c r="G3" t="s">
        <v>54</v>
      </c>
      <c r="H3" t="s">
        <v>55</v>
      </c>
      <c r="I3" t="s">
        <v>56</v>
      </c>
      <c r="K3" t="s">
        <v>57</v>
      </c>
      <c r="L3" t="s">
        <v>58</v>
      </c>
      <c r="M3" t="s">
        <v>59</v>
      </c>
      <c r="N3" s="16"/>
      <c r="O3" s="16"/>
      <c r="P3" s="16"/>
      <c r="Q3" s="16"/>
      <c r="R3" s="16"/>
      <c r="S3" s="16"/>
      <c r="T3" s="16"/>
      <c r="U3" s="16"/>
      <c r="V3" s="16"/>
      <c r="W3" s="16"/>
      <c r="X3" s="16"/>
      <c r="Y3" s="16"/>
      <c r="Z3" s="16"/>
      <c r="AA3" s="16"/>
      <c r="AB3" s="16" t="s">
        <v>60</v>
      </c>
      <c r="AC3" s="16" t="s">
        <v>60</v>
      </c>
      <c r="AD3" s="16" t="s">
        <v>60</v>
      </c>
      <c r="AE3" s="16"/>
      <c r="AF3" s="16"/>
      <c r="AG3" s="16" t="s">
        <v>60</v>
      </c>
      <c r="AH3" s="16" t="s">
        <v>60</v>
      </c>
      <c r="AI3" s="16" t="s">
        <v>60</v>
      </c>
      <c r="AJ3" s="16"/>
      <c r="AK3" s="16"/>
      <c r="AL3" s="16" t="s">
        <v>60</v>
      </c>
      <c r="AM3" s="16" t="s">
        <v>60</v>
      </c>
      <c r="AN3" s="16" t="s">
        <v>60</v>
      </c>
      <c r="AO3" s="16" t="s">
        <v>61</v>
      </c>
      <c r="AP3" s="16" t="s">
        <v>62</v>
      </c>
      <c r="AQ3" s="16" t="s">
        <v>63</v>
      </c>
      <c r="AR3" s="16" t="s">
        <v>63</v>
      </c>
      <c r="AS3" s="16">
        <v>1</v>
      </c>
      <c r="AT3" s="16" t="s">
        <v>63</v>
      </c>
      <c r="AU3" s="16" t="s">
        <v>64</v>
      </c>
      <c r="AV3" s="16" t="s">
        <v>65</v>
      </c>
      <c r="AX3" s="16" t="s">
        <v>66</v>
      </c>
      <c r="AY3" s="16" t="s">
        <v>67</v>
      </c>
    </row>
    <row r="4" spans="1:51" x14ac:dyDescent="0.25">
      <c r="A4" s="14">
        <v>28125</v>
      </c>
      <c r="B4" s="14" t="s">
        <v>51</v>
      </c>
      <c r="C4" s="14" t="b">
        <v>0</v>
      </c>
      <c r="D4" s="14" t="s">
        <v>70</v>
      </c>
      <c r="E4" s="14">
        <v>148694</v>
      </c>
      <c r="F4" s="14" t="s">
        <v>71</v>
      </c>
      <c r="G4" s="14" t="s">
        <v>54</v>
      </c>
      <c r="H4" s="14" t="s">
        <v>55</v>
      </c>
      <c r="I4" s="14" t="s">
        <v>56</v>
      </c>
      <c r="J4" s="14"/>
      <c r="K4" s="14" t="s">
        <v>57</v>
      </c>
      <c r="L4" s="14" t="s">
        <v>58</v>
      </c>
      <c r="M4" s="14" t="s">
        <v>59</v>
      </c>
      <c r="N4" s="15"/>
      <c r="O4" s="15"/>
      <c r="P4" s="15"/>
      <c r="Q4" s="15"/>
      <c r="R4" s="15"/>
      <c r="S4" s="15"/>
      <c r="T4" s="15"/>
      <c r="U4" s="15"/>
      <c r="V4" s="15"/>
      <c r="W4" s="15"/>
      <c r="X4" s="15"/>
      <c r="Y4" s="15"/>
      <c r="Z4" s="15"/>
      <c r="AA4" s="15"/>
      <c r="AB4" s="15" t="s">
        <v>60</v>
      </c>
      <c r="AC4" s="15" t="s">
        <v>60</v>
      </c>
      <c r="AD4" s="15" t="s">
        <v>60</v>
      </c>
      <c r="AE4" s="15"/>
      <c r="AF4" s="15"/>
      <c r="AG4" s="15" t="s">
        <v>60</v>
      </c>
      <c r="AH4" s="15" t="s">
        <v>60</v>
      </c>
      <c r="AI4" s="15" t="s">
        <v>60</v>
      </c>
      <c r="AJ4" s="15"/>
      <c r="AK4" s="15"/>
      <c r="AL4" s="15" t="s">
        <v>60</v>
      </c>
      <c r="AM4" s="15" t="s">
        <v>60</v>
      </c>
      <c r="AN4" s="15" t="s">
        <v>60</v>
      </c>
      <c r="AO4" s="15" t="s">
        <v>61</v>
      </c>
      <c r="AP4" s="15" t="s">
        <v>62</v>
      </c>
      <c r="AQ4" s="15" t="s">
        <v>63</v>
      </c>
      <c r="AR4" s="15" t="s">
        <v>63</v>
      </c>
      <c r="AS4" s="15">
        <v>1</v>
      </c>
      <c r="AT4" s="15" t="s">
        <v>63</v>
      </c>
      <c r="AU4" s="15" t="s">
        <v>64</v>
      </c>
      <c r="AV4" s="15" t="s">
        <v>65</v>
      </c>
      <c r="AW4" s="14"/>
      <c r="AX4" s="15" t="s">
        <v>66</v>
      </c>
      <c r="AY4" s="15" t="s">
        <v>67</v>
      </c>
    </row>
    <row r="5" spans="1:51" x14ac:dyDescent="0.25">
      <c r="A5">
        <v>28128</v>
      </c>
      <c r="B5" t="s">
        <v>51</v>
      </c>
      <c r="C5" t="b">
        <v>0</v>
      </c>
      <c r="D5" t="s">
        <v>72</v>
      </c>
      <c r="E5">
        <v>148697</v>
      </c>
      <c r="F5" t="s">
        <v>73</v>
      </c>
      <c r="G5" t="s">
        <v>54</v>
      </c>
      <c r="H5" t="s">
        <v>55</v>
      </c>
      <c r="I5" t="s">
        <v>56</v>
      </c>
      <c r="K5" t="s">
        <v>57</v>
      </c>
      <c r="L5" t="s">
        <v>58</v>
      </c>
      <c r="M5" t="s">
        <v>59</v>
      </c>
      <c r="N5" s="16"/>
      <c r="O5" s="16"/>
      <c r="P5" s="16"/>
      <c r="Q5" s="16"/>
      <c r="R5" s="16"/>
      <c r="S5" s="16"/>
      <c r="T5" s="16"/>
      <c r="U5" s="16"/>
      <c r="V5" s="16"/>
      <c r="W5" s="16"/>
      <c r="X5" s="16"/>
      <c r="Y5" s="16"/>
      <c r="Z5" s="16"/>
      <c r="AA5" s="16"/>
      <c r="AB5" s="16" t="s">
        <v>60</v>
      </c>
      <c r="AC5" s="16" t="s">
        <v>60</v>
      </c>
      <c r="AD5" s="16" t="s">
        <v>60</v>
      </c>
      <c r="AE5" s="16"/>
      <c r="AF5" s="16"/>
      <c r="AG5" s="16" t="s">
        <v>60</v>
      </c>
      <c r="AH5" s="16" t="s">
        <v>60</v>
      </c>
      <c r="AI5" s="16" t="s">
        <v>60</v>
      </c>
      <c r="AJ5" s="16"/>
      <c r="AK5" s="16"/>
      <c r="AL5" s="16" t="s">
        <v>60</v>
      </c>
      <c r="AM5" s="16" t="s">
        <v>60</v>
      </c>
      <c r="AN5" s="16" t="s">
        <v>60</v>
      </c>
      <c r="AO5" s="16" t="s">
        <v>61</v>
      </c>
      <c r="AP5" s="16" t="s">
        <v>62</v>
      </c>
      <c r="AQ5" s="16" t="s">
        <v>63</v>
      </c>
      <c r="AR5" s="16" t="s">
        <v>63</v>
      </c>
      <c r="AS5" s="16">
        <v>1</v>
      </c>
      <c r="AT5" s="16" t="s">
        <v>63</v>
      </c>
      <c r="AU5" s="16" t="s">
        <v>64</v>
      </c>
      <c r="AV5" s="16" t="s">
        <v>65</v>
      </c>
      <c r="AX5" s="16" t="s">
        <v>66</v>
      </c>
      <c r="AY5" s="16" t="s">
        <v>67</v>
      </c>
    </row>
    <row r="6" spans="1:51" x14ac:dyDescent="0.25">
      <c r="A6" s="14">
        <v>28130</v>
      </c>
      <c r="B6" s="14" t="s">
        <v>51</v>
      </c>
      <c r="C6" s="14" t="b">
        <v>0</v>
      </c>
      <c r="D6" s="14" t="s">
        <v>74</v>
      </c>
      <c r="E6" s="14">
        <v>148699</v>
      </c>
      <c r="F6" s="14" t="s">
        <v>75</v>
      </c>
      <c r="G6" s="14" t="s">
        <v>54</v>
      </c>
      <c r="H6" s="14" t="s">
        <v>55</v>
      </c>
      <c r="I6" s="14" t="s">
        <v>56</v>
      </c>
      <c r="J6" s="14"/>
      <c r="K6" s="14" t="s">
        <v>57</v>
      </c>
      <c r="L6" s="14" t="s">
        <v>58</v>
      </c>
      <c r="M6" s="14" t="s">
        <v>59</v>
      </c>
      <c r="N6" s="15"/>
      <c r="O6" s="15"/>
      <c r="P6" s="15"/>
      <c r="Q6" s="15"/>
      <c r="R6" s="15"/>
      <c r="S6" s="15"/>
      <c r="T6" s="15"/>
      <c r="U6" s="15"/>
      <c r="V6" s="15"/>
      <c r="W6" s="15"/>
      <c r="X6" s="15"/>
      <c r="Y6" s="15"/>
      <c r="Z6" s="15"/>
      <c r="AA6" s="15"/>
      <c r="AB6" s="15" t="s">
        <v>60</v>
      </c>
      <c r="AC6" s="15" t="s">
        <v>60</v>
      </c>
      <c r="AD6" s="15" t="s">
        <v>60</v>
      </c>
      <c r="AE6" s="15"/>
      <c r="AF6" s="15"/>
      <c r="AG6" s="15" t="s">
        <v>60</v>
      </c>
      <c r="AH6" s="15" t="s">
        <v>60</v>
      </c>
      <c r="AI6" s="15" t="s">
        <v>60</v>
      </c>
      <c r="AJ6" s="15"/>
      <c r="AK6" s="15"/>
      <c r="AL6" s="15" t="s">
        <v>60</v>
      </c>
      <c r="AM6" s="15" t="s">
        <v>60</v>
      </c>
      <c r="AN6" s="15" t="s">
        <v>60</v>
      </c>
      <c r="AO6" s="15" t="s">
        <v>61</v>
      </c>
      <c r="AP6" s="15" t="s">
        <v>62</v>
      </c>
      <c r="AQ6" s="15" t="s">
        <v>63</v>
      </c>
      <c r="AR6" s="15" t="s">
        <v>63</v>
      </c>
      <c r="AS6" s="15">
        <v>1</v>
      </c>
      <c r="AT6" s="15" t="s">
        <v>63</v>
      </c>
      <c r="AU6" s="15" t="s">
        <v>64</v>
      </c>
      <c r="AV6" s="15" t="s">
        <v>65</v>
      </c>
      <c r="AW6" s="14"/>
      <c r="AX6" s="15" t="s">
        <v>66</v>
      </c>
      <c r="AY6" s="15" t="s">
        <v>67</v>
      </c>
    </row>
    <row r="7" spans="1:51" x14ac:dyDescent="0.25">
      <c r="A7">
        <v>28132</v>
      </c>
      <c r="B7" t="s">
        <v>51</v>
      </c>
      <c r="C7" t="b">
        <v>0</v>
      </c>
      <c r="D7" t="s">
        <v>76</v>
      </c>
      <c r="E7">
        <v>148701</v>
      </c>
      <c r="F7" t="s">
        <v>77</v>
      </c>
      <c r="G7" t="s">
        <v>54</v>
      </c>
      <c r="H7" t="s">
        <v>55</v>
      </c>
      <c r="I7" t="s">
        <v>56</v>
      </c>
      <c r="K7" t="s">
        <v>57</v>
      </c>
      <c r="L7" t="s">
        <v>58</v>
      </c>
      <c r="M7" t="s">
        <v>59</v>
      </c>
      <c r="N7" s="16"/>
      <c r="O7" s="16"/>
      <c r="P7" s="16"/>
      <c r="Q7" s="16"/>
      <c r="R7" s="16"/>
      <c r="S7" s="16"/>
      <c r="T7" s="16"/>
      <c r="U7" s="16"/>
      <c r="V7" s="16"/>
      <c r="W7" s="16"/>
      <c r="X7" s="16"/>
      <c r="Y7" s="16"/>
      <c r="Z7" s="16"/>
      <c r="AA7" s="16"/>
      <c r="AB7" s="16" t="s">
        <v>60</v>
      </c>
      <c r="AC7" s="16" t="s">
        <v>60</v>
      </c>
      <c r="AD7" s="16" t="s">
        <v>60</v>
      </c>
      <c r="AE7" s="16"/>
      <c r="AF7" s="16"/>
      <c r="AG7" s="16" t="s">
        <v>60</v>
      </c>
      <c r="AH7" s="16" t="s">
        <v>60</v>
      </c>
      <c r="AI7" s="16" t="s">
        <v>60</v>
      </c>
      <c r="AJ7" s="16"/>
      <c r="AK7" s="16"/>
      <c r="AL7" s="16" t="s">
        <v>60</v>
      </c>
      <c r="AM7" s="16" t="s">
        <v>60</v>
      </c>
      <c r="AN7" s="16" t="s">
        <v>60</v>
      </c>
      <c r="AO7" s="16" t="s">
        <v>61</v>
      </c>
      <c r="AP7" s="16" t="s">
        <v>62</v>
      </c>
      <c r="AQ7" s="16" t="s">
        <v>63</v>
      </c>
      <c r="AR7" s="16" t="s">
        <v>63</v>
      </c>
      <c r="AS7" s="16">
        <v>1</v>
      </c>
      <c r="AT7" s="16" t="s">
        <v>63</v>
      </c>
      <c r="AU7" s="16" t="s">
        <v>64</v>
      </c>
      <c r="AV7" s="16" t="s">
        <v>65</v>
      </c>
      <c r="AX7" s="16" t="s">
        <v>66</v>
      </c>
      <c r="AY7" s="16" t="s">
        <v>67</v>
      </c>
    </row>
    <row r="8" spans="1:51" x14ac:dyDescent="0.25">
      <c r="A8" s="14">
        <v>28134</v>
      </c>
      <c r="B8" s="14" t="s">
        <v>51</v>
      </c>
      <c r="C8" s="14" t="b">
        <v>0</v>
      </c>
      <c r="D8" s="14" t="s">
        <v>78</v>
      </c>
      <c r="E8" s="14">
        <v>148704</v>
      </c>
      <c r="F8" s="14" t="s">
        <v>79</v>
      </c>
      <c r="G8" s="14" t="s">
        <v>54</v>
      </c>
      <c r="H8" s="14" t="s">
        <v>55</v>
      </c>
      <c r="I8" s="14" t="s">
        <v>56</v>
      </c>
      <c r="J8" s="14"/>
      <c r="K8" s="14" t="s">
        <v>57</v>
      </c>
      <c r="L8" s="14" t="s">
        <v>58</v>
      </c>
      <c r="M8" s="14" t="s">
        <v>59</v>
      </c>
      <c r="N8" s="15"/>
      <c r="O8" s="15"/>
      <c r="P8" s="15"/>
      <c r="Q8" s="15"/>
      <c r="R8" s="15"/>
      <c r="S8" s="15"/>
      <c r="T8" s="15"/>
      <c r="U8" s="15"/>
      <c r="V8" s="15"/>
      <c r="W8" s="15"/>
      <c r="X8" s="15"/>
      <c r="Y8" s="15"/>
      <c r="Z8" s="15"/>
      <c r="AA8" s="15"/>
      <c r="AB8" s="15" t="s">
        <v>60</v>
      </c>
      <c r="AC8" s="15" t="s">
        <v>60</v>
      </c>
      <c r="AD8" s="15" t="s">
        <v>60</v>
      </c>
      <c r="AE8" s="15"/>
      <c r="AF8" s="15"/>
      <c r="AG8" s="15" t="s">
        <v>60</v>
      </c>
      <c r="AH8" s="15" t="s">
        <v>60</v>
      </c>
      <c r="AI8" s="15" t="s">
        <v>60</v>
      </c>
      <c r="AJ8" s="15"/>
      <c r="AK8" s="15"/>
      <c r="AL8" s="15" t="s">
        <v>60</v>
      </c>
      <c r="AM8" s="15" t="s">
        <v>60</v>
      </c>
      <c r="AN8" s="15" t="s">
        <v>60</v>
      </c>
      <c r="AO8" s="15" t="s">
        <v>61</v>
      </c>
      <c r="AP8" s="15" t="s">
        <v>62</v>
      </c>
      <c r="AQ8" s="15" t="s">
        <v>63</v>
      </c>
      <c r="AR8" s="15" t="s">
        <v>63</v>
      </c>
      <c r="AS8" s="15">
        <v>1</v>
      </c>
      <c r="AT8" s="15" t="s">
        <v>63</v>
      </c>
      <c r="AU8" s="15" t="s">
        <v>64</v>
      </c>
      <c r="AV8" s="15" t="s">
        <v>65</v>
      </c>
      <c r="AW8" s="14"/>
      <c r="AX8" s="15" t="s">
        <v>66</v>
      </c>
      <c r="AY8" s="15" t="s">
        <v>67</v>
      </c>
    </row>
    <row r="9" spans="1:51" x14ac:dyDescent="0.25">
      <c r="A9">
        <v>28135</v>
      </c>
      <c r="B9" t="s">
        <v>51</v>
      </c>
      <c r="C9" t="b">
        <v>0</v>
      </c>
      <c r="D9" t="s">
        <v>80</v>
      </c>
      <c r="E9">
        <v>148705</v>
      </c>
      <c r="F9" t="s">
        <v>75</v>
      </c>
      <c r="G9" t="s">
        <v>54</v>
      </c>
      <c r="H9" t="s">
        <v>55</v>
      </c>
      <c r="I9" t="s">
        <v>56</v>
      </c>
      <c r="K9" t="s">
        <v>57</v>
      </c>
      <c r="L9" t="s">
        <v>58</v>
      </c>
      <c r="M9" t="s">
        <v>59</v>
      </c>
      <c r="N9" s="16"/>
      <c r="O9" s="16"/>
      <c r="P9" s="16"/>
      <c r="Q9" s="16"/>
      <c r="R9" s="16"/>
      <c r="S9" s="16"/>
      <c r="T9" s="16"/>
      <c r="U9" s="16"/>
      <c r="V9" s="16"/>
      <c r="W9" s="16"/>
      <c r="X9" s="16"/>
      <c r="Y9" s="16"/>
      <c r="Z9" s="16"/>
      <c r="AA9" s="16"/>
      <c r="AB9" s="16" t="s">
        <v>60</v>
      </c>
      <c r="AC9" s="16" t="s">
        <v>60</v>
      </c>
      <c r="AD9" s="16" t="s">
        <v>60</v>
      </c>
      <c r="AE9" s="16"/>
      <c r="AF9" s="16"/>
      <c r="AG9" s="16" t="s">
        <v>60</v>
      </c>
      <c r="AH9" s="16" t="s">
        <v>60</v>
      </c>
      <c r="AI9" s="16" t="s">
        <v>60</v>
      </c>
      <c r="AJ9" s="16"/>
      <c r="AK9" s="16"/>
      <c r="AL9" s="16" t="s">
        <v>60</v>
      </c>
      <c r="AM9" s="16" t="s">
        <v>60</v>
      </c>
      <c r="AN9" s="16" t="s">
        <v>60</v>
      </c>
      <c r="AO9" s="16" t="s">
        <v>61</v>
      </c>
      <c r="AP9" s="16" t="s">
        <v>62</v>
      </c>
      <c r="AQ9" s="16" t="s">
        <v>63</v>
      </c>
      <c r="AR9" s="16" t="s">
        <v>63</v>
      </c>
      <c r="AS9" s="16">
        <v>1</v>
      </c>
      <c r="AT9" s="16" t="s">
        <v>63</v>
      </c>
      <c r="AU9" s="16" t="s">
        <v>64</v>
      </c>
      <c r="AV9" s="16" t="s">
        <v>65</v>
      </c>
      <c r="AX9" s="16" t="s">
        <v>66</v>
      </c>
      <c r="AY9" s="16" t="s">
        <v>67</v>
      </c>
    </row>
    <row r="10" spans="1:51" x14ac:dyDescent="0.25">
      <c r="A10" s="14">
        <v>28181</v>
      </c>
      <c r="B10" s="14" t="s">
        <v>51</v>
      </c>
      <c r="C10" s="14" t="b">
        <v>0</v>
      </c>
      <c r="D10" s="14" t="s">
        <v>81</v>
      </c>
      <c r="E10" s="14">
        <v>148764</v>
      </c>
      <c r="F10" s="14" t="s">
        <v>82</v>
      </c>
      <c r="G10" s="14" t="s">
        <v>54</v>
      </c>
      <c r="H10" s="14" t="s">
        <v>83</v>
      </c>
      <c r="I10" s="14" t="s">
        <v>84</v>
      </c>
      <c r="J10" s="14" t="s">
        <v>65</v>
      </c>
      <c r="K10" s="14" t="s">
        <v>85</v>
      </c>
      <c r="L10" s="14" t="s">
        <v>58</v>
      </c>
      <c r="M10" s="14" t="s">
        <v>86</v>
      </c>
      <c r="N10" s="15"/>
      <c r="O10" s="15"/>
      <c r="P10" s="15"/>
      <c r="Q10" s="15"/>
      <c r="R10" s="15"/>
      <c r="S10" s="15"/>
      <c r="T10" s="15"/>
      <c r="U10" s="15"/>
      <c r="V10" s="15"/>
      <c r="W10" s="15"/>
      <c r="X10" s="15"/>
      <c r="Y10" s="15"/>
      <c r="Z10" s="15"/>
      <c r="AA10" s="15"/>
      <c r="AB10" s="15" t="s">
        <v>60</v>
      </c>
      <c r="AC10" s="15" t="s">
        <v>60</v>
      </c>
      <c r="AD10" s="15" t="s">
        <v>60</v>
      </c>
      <c r="AE10" s="15"/>
      <c r="AF10" s="15"/>
      <c r="AG10" s="15" t="s">
        <v>60</v>
      </c>
      <c r="AH10" s="15" t="s">
        <v>60</v>
      </c>
      <c r="AI10" s="15" t="s">
        <v>60</v>
      </c>
      <c r="AJ10" s="15"/>
      <c r="AK10" s="15"/>
      <c r="AL10" s="15" t="s">
        <v>60</v>
      </c>
      <c r="AM10" s="15" t="s">
        <v>60</v>
      </c>
      <c r="AN10" s="15" t="s">
        <v>60</v>
      </c>
      <c r="AO10" s="15" t="s">
        <v>64</v>
      </c>
      <c r="AP10" s="15" t="s">
        <v>87</v>
      </c>
      <c r="AQ10" s="15" t="s">
        <v>63</v>
      </c>
      <c r="AR10" s="15" t="s">
        <v>63</v>
      </c>
      <c r="AS10" s="15">
        <v>1</v>
      </c>
      <c r="AT10" s="15" t="s">
        <v>63</v>
      </c>
      <c r="AU10" s="15" t="s">
        <v>64</v>
      </c>
      <c r="AV10" s="15" t="s">
        <v>65</v>
      </c>
      <c r="AW10" s="14" t="s">
        <v>88</v>
      </c>
      <c r="AX10" s="15" t="s">
        <v>66</v>
      </c>
      <c r="AY10" s="15" t="s">
        <v>67</v>
      </c>
    </row>
    <row r="11" spans="1:51" x14ac:dyDescent="0.25">
      <c r="A11">
        <v>28200</v>
      </c>
      <c r="B11" t="s">
        <v>51</v>
      </c>
      <c r="C11" t="b">
        <v>0</v>
      </c>
      <c r="D11" t="s">
        <v>89</v>
      </c>
      <c r="E11">
        <v>148783</v>
      </c>
      <c r="F11" t="s">
        <v>90</v>
      </c>
      <c r="G11" t="s">
        <v>54</v>
      </c>
      <c r="H11" t="s">
        <v>83</v>
      </c>
      <c r="I11" t="s">
        <v>84</v>
      </c>
      <c r="J11" t="s">
        <v>65</v>
      </c>
      <c r="K11" t="s">
        <v>85</v>
      </c>
      <c r="L11" t="s">
        <v>58</v>
      </c>
      <c r="M11" t="s">
        <v>86</v>
      </c>
      <c r="N11" s="16"/>
      <c r="O11" s="16"/>
      <c r="P11" s="16"/>
      <c r="Q11" s="16"/>
      <c r="R11" s="16"/>
      <c r="S11" s="16"/>
      <c r="T11" s="16"/>
      <c r="U11" s="16"/>
      <c r="V11" s="16"/>
      <c r="W11" s="16"/>
      <c r="X11" s="16"/>
      <c r="Y11" s="16"/>
      <c r="Z11" s="16"/>
      <c r="AA11" s="16"/>
      <c r="AB11" s="16" t="s">
        <v>60</v>
      </c>
      <c r="AC11" s="16" t="s">
        <v>60</v>
      </c>
      <c r="AD11" s="16" t="s">
        <v>60</v>
      </c>
      <c r="AE11" s="16"/>
      <c r="AF11" s="16"/>
      <c r="AG11" s="16" t="s">
        <v>60</v>
      </c>
      <c r="AH11" s="16" t="s">
        <v>60</v>
      </c>
      <c r="AI11" s="16" t="s">
        <v>60</v>
      </c>
      <c r="AJ11" s="16"/>
      <c r="AK11" s="16"/>
      <c r="AL11" s="16" t="s">
        <v>60</v>
      </c>
      <c r="AM11" s="16" t="s">
        <v>60</v>
      </c>
      <c r="AN11" s="16" t="s">
        <v>60</v>
      </c>
      <c r="AO11" s="16" t="s">
        <v>64</v>
      </c>
      <c r="AP11" s="16" t="s">
        <v>87</v>
      </c>
      <c r="AQ11" s="16" t="s">
        <v>63</v>
      </c>
      <c r="AR11" s="16" t="s">
        <v>63</v>
      </c>
      <c r="AS11" s="16">
        <v>1</v>
      </c>
      <c r="AT11" s="16" t="s">
        <v>63</v>
      </c>
      <c r="AU11" s="16" t="s">
        <v>64</v>
      </c>
      <c r="AV11" s="16" t="s">
        <v>65</v>
      </c>
      <c r="AW11" t="s">
        <v>88</v>
      </c>
      <c r="AX11" s="16" t="s">
        <v>66</v>
      </c>
      <c r="AY11" s="16" t="s">
        <v>67</v>
      </c>
    </row>
    <row r="12" spans="1:51" x14ac:dyDescent="0.25">
      <c r="A12" s="14">
        <v>28203</v>
      </c>
      <c r="B12" s="14" t="s">
        <v>51</v>
      </c>
      <c r="C12" s="14" t="b">
        <v>0</v>
      </c>
      <c r="D12" s="14" t="s">
        <v>91</v>
      </c>
      <c r="E12" s="14">
        <v>148786</v>
      </c>
      <c r="F12" s="14" t="s">
        <v>92</v>
      </c>
      <c r="G12" s="14" t="s">
        <v>54</v>
      </c>
      <c r="H12" s="14" t="s">
        <v>83</v>
      </c>
      <c r="I12" s="14" t="s">
        <v>84</v>
      </c>
      <c r="J12" s="14" t="s">
        <v>65</v>
      </c>
      <c r="K12" s="14" t="s">
        <v>85</v>
      </c>
      <c r="L12" s="14" t="s">
        <v>58</v>
      </c>
      <c r="M12" s="14" t="s">
        <v>86</v>
      </c>
      <c r="N12" s="15"/>
      <c r="O12" s="15"/>
      <c r="P12" s="15"/>
      <c r="Q12" s="15"/>
      <c r="R12" s="15"/>
      <c r="S12" s="15"/>
      <c r="T12" s="15"/>
      <c r="U12" s="15"/>
      <c r="V12" s="15"/>
      <c r="W12" s="15"/>
      <c r="X12" s="15"/>
      <c r="Y12" s="15"/>
      <c r="Z12" s="15"/>
      <c r="AA12" s="15"/>
      <c r="AB12" s="15" t="s">
        <v>60</v>
      </c>
      <c r="AC12" s="15" t="s">
        <v>60</v>
      </c>
      <c r="AD12" s="15" t="s">
        <v>60</v>
      </c>
      <c r="AE12" s="15"/>
      <c r="AF12" s="15"/>
      <c r="AG12" s="15" t="s">
        <v>60</v>
      </c>
      <c r="AH12" s="15" t="s">
        <v>60</v>
      </c>
      <c r="AI12" s="15" t="s">
        <v>60</v>
      </c>
      <c r="AJ12" s="15"/>
      <c r="AK12" s="15"/>
      <c r="AL12" s="15" t="s">
        <v>60</v>
      </c>
      <c r="AM12" s="15" t="s">
        <v>60</v>
      </c>
      <c r="AN12" s="15" t="s">
        <v>60</v>
      </c>
      <c r="AO12" s="15" t="s">
        <v>64</v>
      </c>
      <c r="AP12" s="15" t="s">
        <v>87</v>
      </c>
      <c r="AQ12" s="15" t="s">
        <v>63</v>
      </c>
      <c r="AR12" s="15" t="s">
        <v>63</v>
      </c>
      <c r="AS12" s="15">
        <v>1</v>
      </c>
      <c r="AT12" s="15" t="s">
        <v>63</v>
      </c>
      <c r="AU12" s="15" t="s">
        <v>64</v>
      </c>
      <c r="AV12" s="15" t="s">
        <v>65</v>
      </c>
      <c r="AW12" s="14" t="s">
        <v>88</v>
      </c>
      <c r="AX12" s="15" t="s">
        <v>66</v>
      </c>
      <c r="AY12" s="15" t="s">
        <v>67</v>
      </c>
    </row>
    <row r="13" spans="1:51" x14ac:dyDescent="0.25">
      <c r="A13">
        <v>28205</v>
      </c>
      <c r="B13" t="s">
        <v>51</v>
      </c>
      <c r="C13" t="b">
        <v>0</v>
      </c>
      <c r="D13" t="s">
        <v>93</v>
      </c>
      <c r="E13">
        <v>148788</v>
      </c>
      <c r="F13" t="s">
        <v>94</v>
      </c>
      <c r="G13" t="s">
        <v>54</v>
      </c>
      <c r="H13" t="s">
        <v>83</v>
      </c>
      <c r="I13" t="s">
        <v>84</v>
      </c>
      <c r="J13" t="s">
        <v>65</v>
      </c>
      <c r="K13" t="s">
        <v>85</v>
      </c>
      <c r="L13" t="s">
        <v>58</v>
      </c>
      <c r="M13" t="s">
        <v>86</v>
      </c>
      <c r="N13" s="16"/>
      <c r="O13" s="16"/>
      <c r="P13" s="16"/>
      <c r="Q13" s="16"/>
      <c r="R13" s="16"/>
      <c r="S13" s="16"/>
      <c r="T13" s="16"/>
      <c r="U13" s="16"/>
      <c r="V13" s="16"/>
      <c r="W13" s="16"/>
      <c r="X13" s="16"/>
      <c r="Y13" s="16"/>
      <c r="Z13" s="16"/>
      <c r="AA13" s="16"/>
      <c r="AB13" s="16" t="s">
        <v>60</v>
      </c>
      <c r="AC13" s="16" t="s">
        <v>60</v>
      </c>
      <c r="AD13" s="16" t="s">
        <v>60</v>
      </c>
      <c r="AE13" s="16"/>
      <c r="AF13" s="16"/>
      <c r="AG13" s="16" t="s">
        <v>60</v>
      </c>
      <c r="AH13" s="16" t="s">
        <v>60</v>
      </c>
      <c r="AI13" s="16" t="s">
        <v>60</v>
      </c>
      <c r="AJ13" s="16"/>
      <c r="AK13" s="16"/>
      <c r="AL13" s="16" t="s">
        <v>60</v>
      </c>
      <c r="AM13" s="16" t="s">
        <v>60</v>
      </c>
      <c r="AN13" s="16" t="s">
        <v>60</v>
      </c>
      <c r="AO13" s="16" t="s">
        <v>64</v>
      </c>
      <c r="AP13" s="16" t="s">
        <v>87</v>
      </c>
      <c r="AQ13" s="16" t="s">
        <v>63</v>
      </c>
      <c r="AR13" s="16" t="s">
        <v>63</v>
      </c>
      <c r="AS13" s="16">
        <v>1</v>
      </c>
      <c r="AT13" s="16" t="s">
        <v>63</v>
      </c>
      <c r="AU13" s="16" t="s">
        <v>64</v>
      </c>
      <c r="AV13" s="16" t="s">
        <v>65</v>
      </c>
      <c r="AW13" t="s">
        <v>88</v>
      </c>
      <c r="AX13" s="16" t="s">
        <v>66</v>
      </c>
      <c r="AY13" s="16" t="s">
        <v>67</v>
      </c>
    </row>
    <row r="14" spans="1:51" x14ac:dyDescent="0.25">
      <c r="A14" s="14">
        <v>28234</v>
      </c>
      <c r="B14" s="14" t="s">
        <v>51</v>
      </c>
      <c r="C14" s="14" t="b">
        <v>0</v>
      </c>
      <c r="D14" s="14" t="s">
        <v>95</v>
      </c>
      <c r="E14" s="14">
        <v>148818</v>
      </c>
      <c r="F14" s="14" t="s">
        <v>96</v>
      </c>
      <c r="G14" s="14" t="s">
        <v>54</v>
      </c>
      <c r="H14" s="14" t="s">
        <v>97</v>
      </c>
      <c r="I14" s="14" t="s">
        <v>98</v>
      </c>
      <c r="J14" s="14" t="s">
        <v>99</v>
      </c>
      <c r="K14" s="14" t="s">
        <v>85</v>
      </c>
      <c r="L14" s="14" t="s">
        <v>58</v>
      </c>
      <c r="M14" s="14" t="s">
        <v>59</v>
      </c>
      <c r="N14" s="15"/>
      <c r="O14" s="15"/>
      <c r="P14" s="15"/>
      <c r="Q14" s="15"/>
      <c r="R14" s="15"/>
      <c r="S14" s="15"/>
      <c r="T14" s="15"/>
      <c r="U14" s="15"/>
      <c r="V14" s="15"/>
      <c r="W14" s="15"/>
      <c r="X14" s="15"/>
      <c r="Y14" s="15"/>
      <c r="Z14" s="15"/>
      <c r="AA14" s="15"/>
      <c r="AB14" s="15" t="s">
        <v>60</v>
      </c>
      <c r="AC14" s="15" t="s">
        <v>60</v>
      </c>
      <c r="AD14" s="15" t="s">
        <v>60</v>
      </c>
      <c r="AE14" s="15"/>
      <c r="AF14" s="15"/>
      <c r="AG14" s="15" t="s">
        <v>60</v>
      </c>
      <c r="AH14" s="15" t="s">
        <v>60</v>
      </c>
      <c r="AI14" s="15" t="s">
        <v>60</v>
      </c>
      <c r="AJ14" s="15"/>
      <c r="AK14" s="15"/>
      <c r="AL14" s="15" t="s">
        <v>60</v>
      </c>
      <c r="AM14" s="15" t="s">
        <v>60</v>
      </c>
      <c r="AN14" s="15" t="s">
        <v>60</v>
      </c>
      <c r="AO14" s="15" t="s">
        <v>61</v>
      </c>
      <c r="AP14" s="15" t="s">
        <v>62</v>
      </c>
      <c r="AQ14" s="15" t="s">
        <v>63</v>
      </c>
      <c r="AR14" s="15" t="s">
        <v>63</v>
      </c>
      <c r="AS14" s="15">
        <v>1</v>
      </c>
      <c r="AT14" s="15" t="s">
        <v>63</v>
      </c>
      <c r="AU14" s="15" t="s">
        <v>64</v>
      </c>
      <c r="AV14" s="15" t="s">
        <v>65</v>
      </c>
      <c r="AW14" s="14"/>
      <c r="AX14" s="15" t="s">
        <v>66</v>
      </c>
      <c r="AY14" s="15" t="s">
        <v>67</v>
      </c>
    </row>
    <row r="15" spans="1:51" x14ac:dyDescent="0.25">
      <c r="A15">
        <v>28235</v>
      </c>
      <c r="B15" t="s">
        <v>51</v>
      </c>
      <c r="C15" t="b">
        <v>0</v>
      </c>
      <c r="D15" t="s">
        <v>100</v>
      </c>
      <c r="E15">
        <v>148819</v>
      </c>
      <c r="F15" t="s">
        <v>101</v>
      </c>
      <c r="G15" t="s">
        <v>54</v>
      </c>
      <c r="H15" t="s">
        <v>97</v>
      </c>
      <c r="I15" t="s">
        <v>98</v>
      </c>
      <c r="J15" t="s">
        <v>99</v>
      </c>
      <c r="K15" t="s">
        <v>85</v>
      </c>
      <c r="L15" t="s">
        <v>58</v>
      </c>
      <c r="M15" t="s">
        <v>59</v>
      </c>
      <c r="N15" s="16"/>
      <c r="O15" s="16"/>
      <c r="P15" s="16"/>
      <c r="Q15" s="16"/>
      <c r="R15" s="16"/>
      <c r="S15" s="16"/>
      <c r="T15" s="16"/>
      <c r="U15" s="16"/>
      <c r="V15" s="16"/>
      <c r="W15" s="16"/>
      <c r="X15" s="16"/>
      <c r="Y15" s="16"/>
      <c r="Z15" s="16"/>
      <c r="AA15" s="16"/>
      <c r="AB15" s="16" t="s">
        <v>60</v>
      </c>
      <c r="AC15" s="16" t="s">
        <v>60</v>
      </c>
      <c r="AD15" s="16" t="s">
        <v>60</v>
      </c>
      <c r="AE15" s="16"/>
      <c r="AF15" s="16"/>
      <c r="AG15" s="16" t="s">
        <v>60</v>
      </c>
      <c r="AH15" s="16" t="s">
        <v>60</v>
      </c>
      <c r="AI15" s="16" t="s">
        <v>60</v>
      </c>
      <c r="AJ15" s="16"/>
      <c r="AK15" s="16"/>
      <c r="AL15" s="16" t="s">
        <v>60</v>
      </c>
      <c r="AM15" s="16" t="s">
        <v>60</v>
      </c>
      <c r="AN15" s="16" t="s">
        <v>60</v>
      </c>
      <c r="AO15" s="16" t="s">
        <v>61</v>
      </c>
      <c r="AP15" s="16" t="s">
        <v>62</v>
      </c>
      <c r="AQ15" s="16" t="s">
        <v>63</v>
      </c>
      <c r="AR15" s="16" t="s">
        <v>63</v>
      </c>
      <c r="AS15" s="16">
        <v>1</v>
      </c>
      <c r="AT15" s="16" t="s">
        <v>63</v>
      </c>
      <c r="AU15" s="16" t="s">
        <v>64</v>
      </c>
      <c r="AV15" s="16" t="s">
        <v>65</v>
      </c>
      <c r="AX15" s="16" t="s">
        <v>66</v>
      </c>
      <c r="AY15" s="16" t="s">
        <v>67</v>
      </c>
    </row>
    <row r="16" spans="1:51" x14ac:dyDescent="0.25">
      <c r="A16" s="14">
        <v>28238</v>
      </c>
      <c r="B16" s="14" t="s">
        <v>51</v>
      </c>
      <c r="C16" s="14" t="b">
        <v>0</v>
      </c>
      <c r="D16" s="14" t="s">
        <v>102</v>
      </c>
      <c r="E16" s="14">
        <v>148822</v>
      </c>
      <c r="F16" s="14" t="s">
        <v>103</v>
      </c>
      <c r="G16" s="14" t="s">
        <v>54</v>
      </c>
      <c r="H16" s="14" t="s">
        <v>97</v>
      </c>
      <c r="I16" s="14" t="s">
        <v>98</v>
      </c>
      <c r="J16" s="14" t="s">
        <v>104</v>
      </c>
      <c r="K16" s="14" t="s">
        <v>105</v>
      </c>
      <c r="L16" s="14" t="s">
        <v>58</v>
      </c>
      <c r="M16" s="14" t="s">
        <v>59</v>
      </c>
      <c r="N16" s="15"/>
      <c r="O16" s="15"/>
      <c r="P16" s="15"/>
      <c r="Q16" s="15"/>
      <c r="R16" s="15"/>
      <c r="S16" s="15"/>
      <c r="T16" s="15"/>
      <c r="U16" s="15"/>
      <c r="V16" s="15"/>
      <c r="W16" s="15"/>
      <c r="X16" s="15"/>
      <c r="Y16" s="15"/>
      <c r="Z16" s="15"/>
      <c r="AA16" s="15"/>
      <c r="AB16" s="15" t="s">
        <v>60</v>
      </c>
      <c r="AC16" s="15" t="s">
        <v>60</v>
      </c>
      <c r="AD16" s="15" t="s">
        <v>60</v>
      </c>
      <c r="AE16" s="15"/>
      <c r="AF16" s="15"/>
      <c r="AG16" s="15" t="s">
        <v>60</v>
      </c>
      <c r="AH16" s="15" t="s">
        <v>60</v>
      </c>
      <c r="AI16" s="15" t="s">
        <v>60</v>
      </c>
      <c r="AJ16" s="15"/>
      <c r="AK16" s="15"/>
      <c r="AL16" s="15" t="s">
        <v>60</v>
      </c>
      <c r="AM16" s="15" t="s">
        <v>60</v>
      </c>
      <c r="AN16" s="15" t="s">
        <v>60</v>
      </c>
      <c r="AO16" s="15" t="s">
        <v>61</v>
      </c>
      <c r="AP16" s="15" t="s">
        <v>62</v>
      </c>
      <c r="AQ16" s="15" t="s">
        <v>63</v>
      </c>
      <c r="AR16" s="15" t="s">
        <v>63</v>
      </c>
      <c r="AS16" s="15">
        <v>1</v>
      </c>
      <c r="AT16" s="15" t="s">
        <v>63</v>
      </c>
      <c r="AU16" s="15" t="s">
        <v>64</v>
      </c>
      <c r="AV16" s="15" t="s">
        <v>65</v>
      </c>
      <c r="AW16" s="14"/>
      <c r="AX16" s="15" t="s">
        <v>66</v>
      </c>
      <c r="AY16" s="15" t="s">
        <v>67</v>
      </c>
    </row>
    <row r="17" spans="1:51" x14ac:dyDescent="0.25">
      <c r="A17">
        <v>28239</v>
      </c>
      <c r="B17" t="s">
        <v>51</v>
      </c>
      <c r="C17" t="b">
        <v>0</v>
      </c>
      <c r="D17" t="s">
        <v>106</v>
      </c>
      <c r="E17">
        <v>148823</v>
      </c>
      <c r="F17" t="s">
        <v>107</v>
      </c>
      <c r="G17" t="s">
        <v>54</v>
      </c>
      <c r="H17" t="s">
        <v>97</v>
      </c>
      <c r="I17" t="s">
        <v>98</v>
      </c>
      <c r="J17" t="s">
        <v>104</v>
      </c>
      <c r="K17" t="s">
        <v>105</v>
      </c>
      <c r="L17" t="s">
        <v>58</v>
      </c>
      <c r="M17" t="s">
        <v>59</v>
      </c>
      <c r="N17" s="16"/>
      <c r="O17" s="16"/>
      <c r="P17" s="16"/>
      <c r="Q17" s="16"/>
      <c r="R17" s="16"/>
      <c r="S17" s="16"/>
      <c r="T17" s="16"/>
      <c r="U17" s="16"/>
      <c r="V17" s="16"/>
      <c r="W17" s="16"/>
      <c r="X17" s="16"/>
      <c r="Y17" s="16"/>
      <c r="Z17" s="16"/>
      <c r="AA17" s="16"/>
      <c r="AB17" s="16" t="s">
        <v>60</v>
      </c>
      <c r="AC17" s="16" t="s">
        <v>60</v>
      </c>
      <c r="AD17" s="16" t="s">
        <v>60</v>
      </c>
      <c r="AE17" s="16"/>
      <c r="AF17" s="16"/>
      <c r="AG17" s="16" t="s">
        <v>60</v>
      </c>
      <c r="AH17" s="16" t="s">
        <v>60</v>
      </c>
      <c r="AI17" s="16" t="s">
        <v>60</v>
      </c>
      <c r="AJ17" s="16"/>
      <c r="AK17" s="16"/>
      <c r="AL17" s="16" t="s">
        <v>60</v>
      </c>
      <c r="AM17" s="16" t="s">
        <v>60</v>
      </c>
      <c r="AN17" s="16" t="s">
        <v>60</v>
      </c>
      <c r="AO17" s="16" t="s">
        <v>61</v>
      </c>
      <c r="AP17" s="16" t="s">
        <v>62</v>
      </c>
      <c r="AQ17" s="16" t="s">
        <v>63</v>
      </c>
      <c r="AR17" s="16" t="s">
        <v>63</v>
      </c>
      <c r="AS17" s="16">
        <v>1</v>
      </c>
      <c r="AT17" s="16" t="s">
        <v>63</v>
      </c>
      <c r="AU17" s="16" t="s">
        <v>64</v>
      </c>
      <c r="AV17" s="16" t="s">
        <v>65</v>
      </c>
      <c r="AX17" s="16" t="s">
        <v>66</v>
      </c>
      <c r="AY17" s="16" t="s">
        <v>67</v>
      </c>
    </row>
    <row r="18" spans="1:51" x14ac:dyDescent="0.25">
      <c r="A18" s="14">
        <v>28240</v>
      </c>
      <c r="B18" s="14" t="s">
        <v>51</v>
      </c>
      <c r="C18" s="14" t="b">
        <v>0</v>
      </c>
      <c r="D18" s="14" t="s">
        <v>108</v>
      </c>
      <c r="E18" s="14">
        <v>148824</v>
      </c>
      <c r="F18" s="14" t="s">
        <v>109</v>
      </c>
      <c r="G18" s="14" t="s">
        <v>54</v>
      </c>
      <c r="H18" s="14" t="s">
        <v>97</v>
      </c>
      <c r="I18" s="14" t="s">
        <v>98</v>
      </c>
      <c r="J18" s="14" t="s">
        <v>104</v>
      </c>
      <c r="K18" s="14" t="s">
        <v>85</v>
      </c>
      <c r="L18" s="14" t="s">
        <v>58</v>
      </c>
      <c r="M18" s="14" t="s">
        <v>59</v>
      </c>
      <c r="N18" s="15"/>
      <c r="O18" s="15"/>
      <c r="P18" s="15"/>
      <c r="Q18" s="15"/>
      <c r="R18" s="15"/>
      <c r="S18" s="15"/>
      <c r="T18" s="15"/>
      <c r="U18" s="15"/>
      <c r="V18" s="15"/>
      <c r="W18" s="15"/>
      <c r="X18" s="15"/>
      <c r="Y18" s="15"/>
      <c r="Z18" s="15"/>
      <c r="AA18" s="15"/>
      <c r="AB18" s="15" t="s">
        <v>60</v>
      </c>
      <c r="AC18" s="15" t="s">
        <v>60</v>
      </c>
      <c r="AD18" s="15" t="s">
        <v>60</v>
      </c>
      <c r="AE18" s="15"/>
      <c r="AF18" s="15"/>
      <c r="AG18" s="15" t="s">
        <v>60</v>
      </c>
      <c r="AH18" s="15" t="s">
        <v>60</v>
      </c>
      <c r="AI18" s="15" t="s">
        <v>60</v>
      </c>
      <c r="AJ18" s="15"/>
      <c r="AK18" s="15"/>
      <c r="AL18" s="15" t="s">
        <v>60</v>
      </c>
      <c r="AM18" s="15" t="s">
        <v>60</v>
      </c>
      <c r="AN18" s="15" t="s">
        <v>60</v>
      </c>
      <c r="AO18" s="15" t="s">
        <v>61</v>
      </c>
      <c r="AP18" s="15" t="s">
        <v>62</v>
      </c>
      <c r="AQ18" s="15" t="s">
        <v>63</v>
      </c>
      <c r="AR18" s="15" t="s">
        <v>63</v>
      </c>
      <c r="AS18" s="15">
        <v>1</v>
      </c>
      <c r="AT18" s="15" t="s">
        <v>63</v>
      </c>
      <c r="AU18" s="15" t="s">
        <v>64</v>
      </c>
      <c r="AV18" s="15" t="s">
        <v>65</v>
      </c>
      <c r="AW18" s="14"/>
      <c r="AX18" s="15" t="s">
        <v>66</v>
      </c>
      <c r="AY18" s="15" t="s">
        <v>67</v>
      </c>
    </row>
    <row r="19" spans="1:51" x14ac:dyDescent="0.25">
      <c r="A19">
        <v>28241</v>
      </c>
      <c r="B19" t="s">
        <v>51</v>
      </c>
      <c r="C19" t="b">
        <v>0</v>
      </c>
      <c r="D19" t="s">
        <v>110</v>
      </c>
      <c r="E19">
        <v>148825</v>
      </c>
      <c r="F19" t="s">
        <v>111</v>
      </c>
      <c r="G19" t="s">
        <v>54</v>
      </c>
      <c r="H19" t="s">
        <v>97</v>
      </c>
      <c r="I19" t="s">
        <v>98</v>
      </c>
      <c r="J19" t="s">
        <v>104</v>
      </c>
      <c r="K19" t="s">
        <v>105</v>
      </c>
      <c r="L19" t="s">
        <v>58</v>
      </c>
      <c r="M19" t="s">
        <v>59</v>
      </c>
      <c r="N19" s="16"/>
      <c r="O19" s="16"/>
      <c r="P19" s="16"/>
      <c r="Q19" s="16"/>
      <c r="R19" s="16"/>
      <c r="S19" s="16"/>
      <c r="T19" s="16"/>
      <c r="U19" s="16"/>
      <c r="V19" s="16"/>
      <c r="W19" s="16"/>
      <c r="X19" s="16"/>
      <c r="Y19" s="16"/>
      <c r="Z19" s="16"/>
      <c r="AA19" s="16"/>
      <c r="AB19" s="16" t="s">
        <v>60</v>
      </c>
      <c r="AC19" s="16" t="s">
        <v>60</v>
      </c>
      <c r="AD19" s="16" t="s">
        <v>60</v>
      </c>
      <c r="AE19" s="16"/>
      <c r="AF19" s="16"/>
      <c r="AG19" s="16" t="s">
        <v>60</v>
      </c>
      <c r="AH19" s="16" t="s">
        <v>60</v>
      </c>
      <c r="AI19" s="16" t="s">
        <v>60</v>
      </c>
      <c r="AJ19" s="16"/>
      <c r="AK19" s="16"/>
      <c r="AL19" s="16" t="s">
        <v>60</v>
      </c>
      <c r="AM19" s="16" t="s">
        <v>60</v>
      </c>
      <c r="AN19" s="16" t="s">
        <v>60</v>
      </c>
      <c r="AO19" s="16" t="s">
        <v>61</v>
      </c>
      <c r="AP19" s="16" t="s">
        <v>62</v>
      </c>
      <c r="AQ19" s="16" t="s">
        <v>63</v>
      </c>
      <c r="AR19" s="16" t="s">
        <v>63</v>
      </c>
      <c r="AS19" s="16">
        <v>1</v>
      </c>
      <c r="AT19" s="16" t="s">
        <v>63</v>
      </c>
      <c r="AU19" s="16" t="s">
        <v>64</v>
      </c>
      <c r="AV19" s="16" t="s">
        <v>65</v>
      </c>
      <c r="AX19" s="16" t="s">
        <v>66</v>
      </c>
      <c r="AY19" s="16" t="s">
        <v>67</v>
      </c>
    </row>
    <row r="20" spans="1:51" x14ac:dyDescent="0.25">
      <c r="A20" s="14">
        <v>28242</v>
      </c>
      <c r="B20" s="14" t="s">
        <v>51</v>
      </c>
      <c r="C20" s="14" t="b">
        <v>0</v>
      </c>
      <c r="D20" s="14" t="s">
        <v>112</v>
      </c>
      <c r="E20" s="14">
        <v>148826</v>
      </c>
      <c r="F20" s="14" t="s">
        <v>113</v>
      </c>
      <c r="G20" s="14" t="s">
        <v>54</v>
      </c>
      <c r="H20" s="14" t="s">
        <v>97</v>
      </c>
      <c r="I20" s="14" t="s">
        <v>98</v>
      </c>
      <c r="J20" s="14" t="s">
        <v>104</v>
      </c>
      <c r="K20" s="14" t="s">
        <v>105</v>
      </c>
      <c r="L20" s="14" t="s">
        <v>58</v>
      </c>
      <c r="M20" s="14" t="s">
        <v>59</v>
      </c>
      <c r="N20" s="15"/>
      <c r="O20" s="15"/>
      <c r="P20" s="15"/>
      <c r="Q20" s="15"/>
      <c r="R20" s="15"/>
      <c r="S20" s="15"/>
      <c r="T20" s="15"/>
      <c r="U20" s="15"/>
      <c r="V20" s="15"/>
      <c r="W20" s="15"/>
      <c r="X20" s="15"/>
      <c r="Y20" s="15"/>
      <c r="Z20" s="15"/>
      <c r="AA20" s="15"/>
      <c r="AB20" s="15" t="s">
        <v>60</v>
      </c>
      <c r="AC20" s="15" t="s">
        <v>60</v>
      </c>
      <c r="AD20" s="15" t="s">
        <v>60</v>
      </c>
      <c r="AE20" s="15"/>
      <c r="AF20" s="15"/>
      <c r="AG20" s="15" t="s">
        <v>60</v>
      </c>
      <c r="AH20" s="15" t="s">
        <v>60</v>
      </c>
      <c r="AI20" s="15" t="s">
        <v>60</v>
      </c>
      <c r="AJ20" s="15"/>
      <c r="AK20" s="15"/>
      <c r="AL20" s="15" t="s">
        <v>60</v>
      </c>
      <c r="AM20" s="15" t="s">
        <v>60</v>
      </c>
      <c r="AN20" s="15" t="s">
        <v>60</v>
      </c>
      <c r="AO20" s="15" t="s">
        <v>61</v>
      </c>
      <c r="AP20" s="15" t="s">
        <v>62</v>
      </c>
      <c r="AQ20" s="15" t="s">
        <v>63</v>
      </c>
      <c r="AR20" s="15" t="s">
        <v>63</v>
      </c>
      <c r="AS20" s="15">
        <v>1</v>
      </c>
      <c r="AT20" s="15" t="s">
        <v>63</v>
      </c>
      <c r="AU20" s="15" t="s">
        <v>64</v>
      </c>
      <c r="AV20" s="15" t="s">
        <v>65</v>
      </c>
      <c r="AW20" s="14"/>
      <c r="AX20" s="15" t="s">
        <v>66</v>
      </c>
      <c r="AY20" s="15" t="s">
        <v>67</v>
      </c>
    </row>
    <row r="21" spans="1:51" x14ac:dyDescent="0.25">
      <c r="A21">
        <v>28243</v>
      </c>
      <c r="B21" t="s">
        <v>51</v>
      </c>
      <c r="C21" t="b">
        <v>0</v>
      </c>
      <c r="D21" t="s">
        <v>114</v>
      </c>
      <c r="E21">
        <v>148827</v>
      </c>
      <c r="F21" t="s">
        <v>115</v>
      </c>
      <c r="G21" t="s">
        <v>54</v>
      </c>
      <c r="H21" t="s">
        <v>97</v>
      </c>
      <c r="I21" t="s">
        <v>98</v>
      </c>
      <c r="J21" t="s">
        <v>104</v>
      </c>
      <c r="K21" t="s">
        <v>105</v>
      </c>
      <c r="L21" t="s">
        <v>58</v>
      </c>
      <c r="M21" t="s">
        <v>59</v>
      </c>
      <c r="N21" s="16"/>
      <c r="O21" s="16"/>
      <c r="P21" s="16"/>
      <c r="Q21" s="16"/>
      <c r="R21" s="16"/>
      <c r="S21" s="16"/>
      <c r="T21" s="16"/>
      <c r="U21" s="16"/>
      <c r="V21" s="16"/>
      <c r="W21" s="16"/>
      <c r="X21" s="16"/>
      <c r="Y21" s="16"/>
      <c r="Z21" s="16"/>
      <c r="AA21" s="16"/>
      <c r="AB21" s="16" t="s">
        <v>60</v>
      </c>
      <c r="AC21" s="16" t="s">
        <v>60</v>
      </c>
      <c r="AD21" s="16" t="s">
        <v>60</v>
      </c>
      <c r="AE21" s="16"/>
      <c r="AF21" s="16"/>
      <c r="AG21" s="16" t="s">
        <v>60</v>
      </c>
      <c r="AH21" s="16" t="s">
        <v>60</v>
      </c>
      <c r="AI21" s="16" t="s">
        <v>60</v>
      </c>
      <c r="AJ21" s="16"/>
      <c r="AK21" s="16"/>
      <c r="AL21" s="16" t="s">
        <v>60</v>
      </c>
      <c r="AM21" s="16" t="s">
        <v>60</v>
      </c>
      <c r="AN21" s="16" t="s">
        <v>60</v>
      </c>
      <c r="AO21" s="16" t="s">
        <v>61</v>
      </c>
      <c r="AP21" s="16" t="s">
        <v>62</v>
      </c>
      <c r="AQ21" s="16" t="s">
        <v>63</v>
      </c>
      <c r="AR21" s="16" t="s">
        <v>63</v>
      </c>
      <c r="AS21" s="16">
        <v>1</v>
      </c>
      <c r="AT21" s="16" t="s">
        <v>63</v>
      </c>
      <c r="AU21" s="16" t="s">
        <v>64</v>
      </c>
      <c r="AV21" s="16" t="s">
        <v>65</v>
      </c>
      <c r="AX21" s="16" t="s">
        <v>66</v>
      </c>
      <c r="AY21" s="16" t="s">
        <v>67</v>
      </c>
    </row>
    <row r="22" spans="1:51" x14ac:dyDescent="0.25">
      <c r="A22" s="14">
        <v>28244</v>
      </c>
      <c r="B22" s="14" t="s">
        <v>51</v>
      </c>
      <c r="C22" s="14" t="b">
        <v>0</v>
      </c>
      <c r="D22" s="14" t="s">
        <v>116</v>
      </c>
      <c r="E22" s="14">
        <v>148828</v>
      </c>
      <c r="F22" s="14" t="s">
        <v>117</v>
      </c>
      <c r="G22" s="14" t="s">
        <v>54</v>
      </c>
      <c r="H22" s="14" t="s">
        <v>97</v>
      </c>
      <c r="I22" s="14" t="s">
        <v>98</v>
      </c>
      <c r="J22" s="14" t="s">
        <v>104</v>
      </c>
      <c r="K22" s="14" t="s">
        <v>105</v>
      </c>
      <c r="L22" s="14" t="s">
        <v>58</v>
      </c>
      <c r="M22" s="14" t="s">
        <v>59</v>
      </c>
      <c r="N22" s="15"/>
      <c r="O22" s="15"/>
      <c r="P22" s="15"/>
      <c r="Q22" s="15"/>
      <c r="R22" s="15"/>
      <c r="S22" s="15"/>
      <c r="T22" s="15"/>
      <c r="U22" s="15"/>
      <c r="V22" s="15"/>
      <c r="W22" s="15"/>
      <c r="X22" s="15"/>
      <c r="Y22" s="15"/>
      <c r="Z22" s="15"/>
      <c r="AA22" s="15"/>
      <c r="AB22" s="15" t="s">
        <v>60</v>
      </c>
      <c r="AC22" s="15" t="s">
        <v>60</v>
      </c>
      <c r="AD22" s="15" t="s">
        <v>60</v>
      </c>
      <c r="AE22" s="15"/>
      <c r="AF22" s="15"/>
      <c r="AG22" s="15" t="s">
        <v>60</v>
      </c>
      <c r="AH22" s="15" t="s">
        <v>60</v>
      </c>
      <c r="AI22" s="15" t="s">
        <v>60</v>
      </c>
      <c r="AJ22" s="15"/>
      <c r="AK22" s="15"/>
      <c r="AL22" s="15" t="s">
        <v>60</v>
      </c>
      <c r="AM22" s="15" t="s">
        <v>60</v>
      </c>
      <c r="AN22" s="15" t="s">
        <v>60</v>
      </c>
      <c r="AO22" s="15" t="s">
        <v>61</v>
      </c>
      <c r="AP22" s="15" t="s">
        <v>62</v>
      </c>
      <c r="AQ22" s="15" t="s">
        <v>63</v>
      </c>
      <c r="AR22" s="15" t="s">
        <v>63</v>
      </c>
      <c r="AS22" s="15">
        <v>1</v>
      </c>
      <c r="AT22" s="15" t="s">
        <v>63</v>
      </c>
      <c r="AU22" s="15" t="s">
        <v>64</v>
      </c>
      <c r="AV22" s="15" t="s">
        <v>65</v>
      </c>
      <c r="AW22" s="14"/>
      <c r="AX22" s="15" t="s">
        <v>66</v>
      </c>
      <c r="AY22" s="15" t="s">
        <v>67</v>
      </c>
    </row>
  </sheetData>
  <conditionalFormatting sqref="D2:D22">
    <cfRule type="expression" dxfId="17" priority="6">
      <formula>$C2</formula>
    </cfRule>
  </conditionalFormatting>
  <conditionalFormatting sqref="AB2:AD22 AG2:AI22 AL2:AN22 AQ2:AT22">
    <cfRule type="containsText" dxfId="16" priority="2" operator="containsText" text="N">
      <formula>NOT(ISERROR(SEARCH("N",AB2)))</formula>
    </cfRule>
    <cfRule type="containsText" dxfId="15" priority="7" operator="containsText" text="SC">
      <formula>NOT(ISERROR(SEARCH("SC",AB2)))</formula>
    </cfRule>
    <cfRule type="containsText" dxfId="14" priority="8" operator="containsText" text="L">
      <formula>NOT(ISERROR(SEARCH("L",AB2)))</formula>
    </cfRule>
    <cfRule type="containsText" dxfId="13" priority="9" operator="containsText" text="M">
      <formula>NOT(ISERROR(SEARCH("M",AB2)))</formula>
    </cfRule>
    <cfRule type="containsText" dxfId="12" priority="10" operator="containsText" text="H">
      <formula>NOT(ISERROR(SEARCH("H",AB2)))</formula>
    </cfRule>
    <cfRule type="containsText" dxfId="11" priority="11" operator="containsText" text="E">
      <formula>NOT(ISERROR(SEARCH("E",AB2)))</formula>
    </cfRule>
  </conditionalFormatting>
  <conditionalFormatting sqref="AU2:AU22">
    <cfRule type="cellIs" dxfId="10" priority="12" operator="equal">
      <formula>"A"</formula>
    </cfRule>
    <cfRule type="cellIs" dxfId="9" priority="13" operator="equal">
      <formula>"B"</formula>
    </cfRule>
    <cfRule type="cellIs" dxfId="8" priority="14" operator="equal">
      <formula>"C"</formula>
    </cfRule>
    <cfRule type="cellIs" dxfId="7" priority="15" operator="equal">
      <formula>"D"</formula>
    </cfRule>
    <cfRule type="cellIs" dxfId="6" priority="16" operator="equal">
      <formula>"E"</formula>
    </cfRule>
    <cfRule type="cellIs" dxfId="5" priority="17" operator="equal">
      <formula>"F"</formula>
    </cfRule>
  </conditionalFormatting>
  <conditionalFormatting sqref="AV2:AV22">
    <cfRule type="cellIs" dxfId="4" priority="1" operator="equal">
      <formula>"NOT"</formula>
    </cfRule>
    <cfRule type="cellIs" dxfId="3" priority="3" operator="equal">
      <formula>"LOW"</formula>
    </cfRule>
    <cfRule type="cellIs" dxfId="2" priority="4" operator="equal">
      <formula>"MED"</formula>
    </cfRule>
    <cfRule type="cellIs" dxfId="1" priority="5" operator="equal">
      <formula>"HI"</formula>
    </cfRule>
  </conditionalFormatting>
  <dataValidations count="4">
    <dataValidation type="list" allowBlank="1" showInputMessage="1" showErrorMessage="1" sqref="L2:L22" xr:uid="{5CC34D6E-BED4-4B3C-A3DB-F44D043D63CF}">
      <formula1>INDIRECT("Projects[Projects]")</formula1>
    </dataValidation>
    <dataValidation type="list" allowBlank="1" showInputMessage="1" showErrorMessage="1" sqref="M2:M22" xr:uid="{59BEEF68-05BA-4DE5-AD88-54BB607D96D3}">
      <formula1>INDIRECT("BUReview[BU Review]")</formula1>
    </dataValidation>
    <dataValidation type="list" allowBlank="1" showInputMessage="1" showErrorMessage="1" sqref="AA2:AA22 AF2:AF22 AK2:AK22 AP2:AP22" xr:uid="{188857C7-B154-4DF1-857A-2C7F6B89444D}">
      <formula1>INDIRECT("consequence[Consequence]")</formula1>
    </dataValidation>
    <dataValidation type="list" allowBlank="1" showInputMessage="1" showErrorMessage="1" sqref="Z2:Z22 AE2:AE22 AJ2:AJ22 AO2:AO22" xr:uid="{5531B8ED-5AE8-4A92-B2C7-82AFE7C15D5B}">
      <formula1>INDIRECT("likelihood[Likelihood]")</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4EEC4-9EFF-456D-AF66-32F5445C5D88}">
  <dimension ref="B2:K11"/>
  <sheetViews>
    <sheetView topLeftCell="A5" workbookViewId="0">
      <selection activeCell="F13" sqref="F13"/>
    </sheetView>
  </sheetViews>
  <sheetFormatPr defaultRowHeight="15" x14ac:dyDescent="0.25"/>
  <cols>
    <col min="5" max="5" width="18.7109375" bestFit="1" customWidth="1"/>
    <col min="6" max="11" width="13.85546875" customWidth="1"/>
  </cols>
  <sheetData>
    <row r="2" spans="2:11" x14ac:dyDescent="0.25">
      <c r="B2" t="s">
        <v>1056</v>
      </c>
      <c r="F2" t="s">
        <v>1070</v>
      </c>
    </row>
    <row r="3" spans="2:11" x14ac:dyDescent="0.25">
      <c r="F3" t="s">
        <v>158</v>
      </c>
    </row>
    <row r="4" spans="2:11" x14ac:dyDescent="0.25">
      <c r="F4" t="s">
        <v>946</v>
      </c>
    </row>
    <row r="5" spans="2:11" x14ac:dyDescent="0.25">
      <c r="F5" t="s">
        <v>1064</v>
      </c>
      <c r="G5" t="s">
        <v>1065</v>
      </c>
      <c r="H5" t="s">
        <v>1066</v>
      </c>
      <c r="I5" t="s">
        <v>1067</v>
      </c>
      <c r="J5" t="s">
        <v>1068</v>
      </c>
      <c r="K5" t="s">
        <v>1069</v>
      </c>
    </row>
    <row r="6" spans="2:11" x14ac:dyDescent="0.25">
      <c r="D6" t="s">
        <v>952</v>
      </c>
      <c r="G6" s="16">
        <v>1</v>
      </c>
      <c r="H6" s="16">
        <v>2</v>
      </c>
      <c r="I6" s="16">
        <v>3</v>
      </c>
      <c r="J6" s="16">
        <v>4</v>
      </c>
      <c r="K6" s="16">
        <v>5</v>
      </c>
    </row>
    <row r="7" spans="2:11" x14ac:dyDescent="0.25">
      <c r="E7" t="s">
        <v>1060</v>
      </c>
      <c r="F7" s="16" t="s">
        <v>1057</v>
      </c>
      <c r="G7" s="43" t="s">
        <v>976</v>
      </c>
      <c r="H7" s="43" t="s">
        <v>976</v>
      </c>
      <c r="I7" s="43" t="s">
        <v>1072</v>
      </c>
      <c r="J7" s="43" t="s">
        <v>1071</v>
      </c>
      <c r="K7" s="43" t="s">
        <v>1071</v>
      </c>
    </row>
    <row r="8" spans="2:11" x14ac:dyDescent="0.25">
      <c r="E8" t="s">
        <v>964</v>
      </c>
      <c r="F8" s="16" t="s">
        <v>1058</v>
      </c>
      <c r="G8" s="43" t="s">
        <v>1073</v>
      </c>
      <c r="H8" s="43" t="s">
        <v>976</v>
      </c>
      <c r="I8" s="43" t="s">
        <v>1072</v>
      </c>
      <c r="J8" s="43" t="s">
        <v>1071</v>
      </c>
      <c r="K8" s="43" t="s">
        <v>1071</v>
      </c>
    </row>
    <row r="9" spans="2:11" x14ac:dyDescent="0.25">
      <c r="E9" t="s">
        <v>1061</v>
      </c>
      <c r="F9" s="16" t="s">
        <v>1059</v>
      </c>
      <c r="G9" s="43" t="s">
        <v>1073</v>
      </c>
      <c r="H9" s="43" t="s">
        <v>976</v>
      </c>
      <c r="I9" s="43" t="s">
        <v>1072</v>
      </c>
      <c r="J9" s="43" t="s">
        <v>1072</v>
      </c>
      <c r="K9" s="43" t="s">
        <v>1071</v>
      </c>
    </row>
    <row r="10" spans="2:11" x14ac:dyDescent="0.25">
      <c r="E10" t="s">
        <v>1062</v>
      </c>
      <c r="F10" s="16" t="s">
        <v>61</v>
      </c>
      <c r="G10" s="43" t="s">
        <v>1073</v>
      </c>
      <c r="H10" s="43" t="s">
        <v>1073</v>
      </c>
      <c r="I10" s="43" t="s">
        <v>976</v>
      </c>
      <c r="J10" s="43" t="s">
        <v>1072</v>
      </c>
      <c r="K10" s="43" t="s">
        <v>1072</v>
      </c>
    </row>
    <row r="11" spans="2:11" x14ac:dyDescent="0.25">
      <c r="E11" t="s">
        <v>1063</v>
      </c>
      <c r="F11" s="16" t="s">
        <v>64</v>
      </c>
      <c r="G11" s="43" t="s">
        <v>1073</v>
      </c>
      <c r="H11" s="43" t="s">
        <v>1073</v>
      </c>
      <c r="I11" s="43" t="s">
        <v>1073</v>
      </c>
      <c r="J11" s="43" t="s">
        <v>976</v>
      </c>
      <c r="K11" s="43" t="s">
        <v>1072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FA460-4C7E-4129-8711-94C223FB4259}">
  <dimension ref="A1:T3"/>
  <sheetViews>
    <sheetView tabSelected="1" topLeftCell="E1" workbookViewId="0">
      <selection activeCell="G22" sqref="G22"/>
    </sheetView>
  </sheetViews>
  <sheetFormatPr defaultRowHeight="15" x14ac:dyDescent="0.25"/>
  <cols>
    <col min="1" max="5" width="30" customWidth="1"/>
    <col min="6" max="6" width="18.5703125" customWidth="1"/>
    <col min="7" max="7" width="38.85546875" customWidth="1"/>
    <col min="8" max="8" width="29.85546875" customWidth="1"/>
    <col min="9" max="9" width="23.42578125" customWidth="1"/>
  </cols>
  <sheetData>
    <row r="1" spans="1:20" s="44" customFormat="1" x14ac:dyDescent="0.25">
      <c r="A1" s="44" t="s">
        <v>1074</v>
      </c>
      <c r="B1" s="44" t="s">
        <v>1075</v>
      </c>
      <c r="C1" s="44" t="s">
        <v>1076</v>
      </c>
      <c r="D1" s="44" t="s">
        <v>1077</v>
      </c>
      <c r="E1" s="44" t="s">
        <v>1078</v>
      </c>
      <c r="F1" s="44" t="s">
        <v>1079</v>
      </c>
      <c r="G1" s="44" t="s">
        <v>1080</v>
      </c>
      <c r="H1" s="44" t="s">
        <v>1081</v>
      </c>
      <c r="I1" s="44" t="s">
        <v>1082</v>
      </c>
      <c r="J1" s="44" t="s">
        <v>1083</v>
      </c>
      <c r="K1" s="44" t="s">
        <v>1084</v>
      </c>
      <c r="L1" s="44" t="s">
        <v>1085</v>
      </c>
      <c r="M1" s="44" t="s">
        <v>1086</v>
      </c>
      <c r="N1" s="44" t="s">
        <v>1087</v>
      </c>
      <c r="O1" s="44" t="s">
        <v>1096</v>
      </c>
      <c r="P1" s="44" t="s">
        <v>1098</v>
      </c>
      <c r="Q1" s="44" t="s">
        <v>1100</v>
      </c>
      <c r="R1" s="44" t="s">
        <v>936</v>
      </c>
      <c r="S1" s="44" t="s">
        <v>1101</v>
      </c>
      <c r="T1" s="44" t="s">
        <v>1111</v>
      </c>
    </row>
    <row r="2" spans="1:20" x14ac:dyDescent="0.25">
      <c r="A2" t="s">
        <v>1092</v>
      </c>
      <c r="B2" t="s">
        <v>1103</v>
      </c>
      <c r="C2" t="s">
        <v>1106</v>
      </c>
      <c r="D2" t="s">
        <v>1105</v>
      </c>
      <c r="E2" t="s">
        <v>1104</v>
      </c>
      <c r="F2" t="s">
        <v>1093</v>
      </c>
      <c r="G2" t="s">
        <v>1107</v>
      </c>
      <c r="H2">
        <v>2435132</v>
      </c>
      <c r="I2" t="s">
        <v>1095</v>
      </c>
      <c r="R2" t="s">
        <v>1109</v>
      </c>
      <c r="S2" t="s">
        <v>1110</v>
      </c>
      <c r="T2" t="s">
        <v>1112</v>
      </c>
    </row>
    <row r="3" spans="1:20" x14ac:dyDescent="0.25">
      <c r="A3" t="s">
        <v>1088</v>
      </c>
      <c r="B3" t="s">
        <v>1089</v>
      </c>
      <c r="C3" t="s">
        <v>1091</v>
      </c>
      <c r="D3" t="s">
        <v>1090</v>
      </c>
      <c r="E3" t="s">
        <v>1092</v>
      </c>
      <c r="F3" t="s">
        <v>1093</v>
      </c>
      <c r="G3" t="s">
        <v>1094</v>
      </c>
      <c r="H3">
        <v>1234</v>
      </c>
      <c r="I3" t="s">
        <v>1095</v>
      </c>
      <c r="J3" t="s">
        <v>14</v>
      </c>
      <c r="K3" t="s">
        <v>13</v>
      </c>
      <c r="L3" t="s">
        <v>24</v>
      </c>
      <c r="M3" t="s">
        <v>21</v>
      </c>
      <c r="N3" t="s">
        <v>1058</v>
      </c>
      <c r="O3" t="s">
        <v>1097</v>
      </c>
      <c r="P3" t="s">
        <v>1099</v>
      </c>
      <c r="Q3">
        <v>124131</v>
      </c>
      <c r="R3" t="s">
        <v>1108</v>
      </c>
      <c r="S3" t="s">
        <v>1102</v>
      </c>
      <c r="T3" t="s">
        <v>1113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8D186-5F12-4F90-8D6F-D05FAB1BC949}">
  <dimension ref="A1:AF39"/>
  <sheetViews>
    <sheetView workbookViewId="0">
      <selection activeCell="D2" sqref="D2"/>
    </sheetView>
  </sheetViews>
  <sheetFormatPr defaultRowHeight="15" x14ac:dyDescent="0.25"/>
  <sheetData>
    <row r="1" spans="1:32" ht="60" x14ac:dyDescent="0.25">
      <c r="A1" s="17" t="s">
        <v>118</v>
      </c>
      <c r="B1" s="17" t="s">
        <v>119</v>
      </c>
      <c r="C1" s="17" t="s">
        <v>120</v>
      </c>
      <c r="D1" s="17" t="s">
        <v>121</v>
      </c>
      <c r="E1" s="17" t="s">
        <v>122</v>
      </c>
      <c r="F1" s="17" t="s">
        <v>123</v>
      </c>
      <c r="G1" s="17" t="s">
        <v>124</v>
      </c>
      <c r="H1" s="17" t="s">
        <v>125</v>
      </c>
      <c r="I1" s="17" t="s">
        <v>126</v>
      </c>
      <c r="J1" s="17" t="s">
        <v>127</v>
      </c>
      <c r="K1" s="17" t="s">
        <v>128</v>
      </c>
      <c r="L1" s="17" t="s">
        <v>129</v>
      </c>
      <c r="M1" s="18" t="s">
        <v>130</v>
      </c>
      <c r="N1" s="17" t="s">
        <v>131</v>
      </c>
      <c r="O1" s="19" t="s">
        <v>132</v>
      </c>
      <c r="P1" s="19" t="s">
        <v>133</v>
      </c>
      <c r="Q1" s="19" t="s">
        <v>134</v>
      </c>
      <c r="R1" s="19" t="s">
        <v>135</v>
      </c>
      <c r="S1" s="17" t="s">
        <v>136</v>
      </c>
      <c r="T1" s="17" t="s">
        <v>137</v>
      </c>
      <c r="U1" s="17" t="s">
        <v>138</v>
      </c>
      <c r="V1" s="17" t="s">
        <v>949</v>
      </c>
      <c r="W1" s="17" t="s">
        <v>934</v>
      </c>
      <c r="X1" s="17" t="s">
        <v>139</v>
      </c>
      <c r="Y1" s="17" t="s">
        <v>140</v>
      </c>
      <c r="Z1" s="17" t="s">
        <v>141</v>
      </c>
      <c r="AA1" s="17" t="s">
        <v>142</v>
      </c>
      <c r="AB1" s="17" t="s">
        <v>143</v>
      </c>
      <c r="AC1" s="17" t="s">
        <v>144</v>
      </c>
      <c r="AD1" s="17" t="s">
        <v>145</v>
      </c>
      <c r="AE1" s="17" t="s">
        <v>146</v>
      </c>
      <c r="AF1" s="17" t="s">
        <v>147</v>
      </c>
    </row>
    <row r="2" spans="1:32" ht="216" x14ac:dyDescent="0.25">
      <c r="A2" s="20" t="s">
        <v>148</v>
      </c>
      <c r="B2" s="20"/>
      <c r="C2" s="20"/>
      <c r="D2" s="21" t="s">
        <v>149</v>
      </c>
      <c r="E2" s="20" t="s">
        <v>150</v>
      </c>
      <c r="F2" s="22" t="s">
        <v>151</v>
      </c>
      <c r="G2" s="21" t="s">
        <v>152</v>
      </c>
      <c r="H2" s="21" t="s">
        <v>153</v>
      </c>
      <c r="I2" s="21" t="s">
        <v>154</v>
      </c>
      <c r="J2" s="21" t="s">
        <v>155</v>
      </c>
      <c r="K2" s="21" t="s">
        <v>156</v>
      </c>
      <c r="L2" s="21" t="s">
        <v>157</v>
      </c>
      <c r="M2" s="23"/>
      <c r="N2" s="20" t="s">
        <v>158</v>
      </c>
      <c r="O2" s="20"/>
      <c r="P2" s="20"/>
      <c r="Q2" s="20"/>
      <c r="R2" s="20">
        <f>Table1[[#This Row],[Consequence '[1..5']]]*Table1[[#This Row],[Likelihood '[1..5']]]*Table1[[#This Row],[Detectability '[1..5']]]</f>
        <v>0</v>
      </c>
      <c r="S2" s="21" t="s">
        <v>159</v>
      </c>
      <c r="T2" s="21" t="s">
        <v>160</v>
      </c>
      <c r="U2" s="21" t="s">
        <v>161</v>
      </c>
      <c r="V2" s="21"/>
      <c r="W2" s="21"/>
      <c r="X2" s="20"/>
      <c r="Y2" s="21"/>
      <c r="Z2" s="21"/>
      <c r="AA2" s="20"/>
      <c r="AB2" s="20"/>
      <c r="AC2" s="21"/>
      <c r="AD2" s="21"/>
      <c r="AE2" s="21"/>
      <c r="AF2" s="21"/>
    </row>
    <row r="3" spans="1:32" ht="192" x14ac:dyDescent="0.25">
      <c r="A3" s="20" t="s">
        <v>148</v>
      </c>
      <c r="B3" s="20"/>
      <c r="C3" s="20"/>
      <c r="D3" s="21" t="s">
        <v>149</v>
      </c>
      <c r="E3" s="20" t="s">
        <v>150</v>
      </c>
      <c r="F3" s="22" t="s">
        <v>151</v>
      </c>
      <c r="G3" s="21" t="s">
        <v>152</v>
      </c>
      <c r="H3" s="21" t="s">
        <v>163</v>
      </c>
      <c r="I3" s="21" t="s">
        <v>164</v>
      </c>
      <c r="J3" s="21" t="s">
        <v>165</v>
      </c>
      <c r="K3" s="21" t="s">
        <v>166</v>
      </c>
      <c r="L3" s="21" t="s">
        <v>157</v>
      </c>
      <c r="M3" s="23"/>
      <c r="N3" s="20" t="s">
        <v>158</v>
      </c>
      <c r="O3" s="20"/>
      <c r="P3" s="20"/>
      <c r="Q3" s="20"/>
      <c r="R3" s="20">
        <f>Table1[[#This Row],[Consequence '[1..5']]]*Table1[[#This Row],[Likelihood '[1..5']]]*Table1[[#This Row],[Detectability '[1..5']]]</f>
        <v>0</v>
      </c>
      <c r="S3" s="21" t="s">
        <v>167</v>
      </c>
      <c r="T3" s="21" t="s">
        <v>168</v>
      </c>
      <c r="U3" s="21" t="s">
        <v>161</v>
      </c>
      <c r="V3" s="21"/>
      <c r="W3" s="21"/>
      <c r="X3" s="20"/>
      <c r="Y3" s="21"/>
      <c r="Z3" s="21"/>
      <c r="AA3" s="20"/>
      <c r="AB3" s="20"/>
      <c r="AC3" s="21"/>
      <c r="AD3" s="21"/>
      <c r="AE3" s="21"/>
      <c r="AF3" s="21"/>
    </row>
    <row r="4" spans="1:32" ht="192" x14ac:dyDescent="0.25">
      <c r="A4" s="20" t="s">
        <v>148</v>
      </c>
      <c r="B4" s="20"/>
      <c r="C4" s="20"/>
      <c r="D4" s="21" t="s">
        <v>149</v>
      </c>
      <c r="E4" s="20" t="s">
        <v>150</v>
      </c>
      <c r="F4" s="22" t="s">
        <v>151</v>
      </c>
      <c r="G4" s="21" t="s">
        <v>152</v>
      </c>
      <c r="H4" s="21" t="s">
        <v>169</v>
      </c>
      <c r="I4" s="21" t="s">
        <v>170</v>
      </c>
      <c r="J4" s="21" t="s">
        <v>171</v>
      </c>
      <c r="K4" s="21" t="s">
        <v>172</v>
      </c>
      <c r="L4" s="21" t="s">
        <v>173</v>
      </c>
      <c r="M4" s="23"/>
      <c r="N4" s="20"/>
      <c r="O4" s="20"/>
      <c r="P4" s="20"/>
      <c r="Q4" s="20"/>
      <c r="R4" s="20">
        <f>Table1[[#This Row],[Consequence '[1..5']]]*Table1[[#This Row],[Likelihood '[1..5']]]*Table1[[#This Row],[Detectability '[1..5']]]</f>
        <v>0</v>
      </c>
      <c r="S4" s="21" t="s">
        <v>174</v>
      </c>
      <c r="T4" s="21" t="s">
        <v>175</v>
      </c>
      <c r="U4" s="21"/>
      <c r="V4" s="21"/>
      <c r="W4" s="21"/>
      <c r="X4" s="20"/>
      <c r="Y4" s="21"/>
      <c r="Z4" s="21"/>
      <c r="AA4" s="20"/>
      <c r="AB4" s="20"/>
      <c r="AC4" s="21"/>
      <c r="AD4" s="21"/>
      <c r="AE4" s="21"/>
      <c r="AF4" s="21"/>
    </row>
    <row r="5" spans="1:32" ht="216" x14ac:dyDescent="0.25">
      <c r="A5" s="20" t="s">
        <v>148</v>
      </c>
      <c r="B5" s="20"/>
      <c r="C5" s="20"/>
      <c r="D5" s="21" t="s">
        <v>149</v>
      </c>
      <c r="E5" s="20" t="s">
        <v>150</v>
      </c>
      <c r="F5" s="22" t="s">
        <v>151</v>
      </c>
      <c r="G5" s="21" t="s">
        <v>152</v>
      </c>
      <c r="H5" s="21" t="s">
        <v>177</v>
      </c>
      <c r="I5" s="21" t="s">
        <v>178</v>
      </c>
      <c r="J5" s="21" t="s">
        <v>179</v>
      </c>
      <c r="K5" s="21" t="s">
        <v>180</v>
      </c>
      <c r="L5" s="21" t="s">
        <v>181</v>
      </c>
      <c r="M5" s="23"/>
      <c r="N5" s="20"/>
      <c r="O5" s="20"/>
      <c r="P5" s="20"/>
      <c r="Q5" s="20"/>
      <c r="R5" s="20">
        <f>Table1[[#This Row],[Consequence '[1..5']]]*Table1[[#This Row],[Likelihood '[1..5']]]*Table1[[#This Row],[Detectability '[1..5']]]</f>
        <v>0</v>
      </c>
      <c r="S5" s="21" t="s">
        <v>182</v>
      </c>
      <c r="T5" s="21" t="s">
        <v>183</v>
      </c>
      <c r="U5" s="21"/>
      <c r="V5" s="21"/>
      <c r="W5" s="21"/>
      <c r="X5" s="20"/>
      <c r="Y5" s="21"/>
      <c r="Z5" s="21"/>
      <c r="AA5" s="20"/>
      <c r="AB5" s="20"/>
      <c r="AC5" s="21"/>
      <c r="AD5" s="21"/>
      <c r="AE5" s="21"/>
      <c r="AF5" s="21"/>
    </row>
    <row r="6" spans="1:32" ht="132" x14ac:dyDescent="0.25">
      <c r="A6" s="20" t="s">
        <v>148</v>
      </c>
      <c r="B6" s="20"/>
      <c r="C6" s="20"/>
      <c r="D6" s="21" t="s">
        <v>149</v>
      </c>
      <c r="E6" s="20" t="s">
        <v>150</v>
      </c>
      <c r="F6" s="22" t="s">
        <v>151</v>
      </c>
      <c r="G6" s="21" t="s">
        <v>152</v>
      </c>
      <c r="H6" s="21" t="s">
        <v>184</v>
      </c>
      <c r="I6" s="21" t="s">
        <v>185</v>
      </c>
      <c r="J6" s="21" t="s">
        <v>186</v>
      </c>
      <c r="K6" s="21" t="s">
        <v>187</v>
      </c>
      <c r="L6" s="21" t="s">
        <v>181</v>
      </c>
      <c r="M6" s="23"/>
      <c r="N6" s="20"/>
      <c r="O6" s="20"/>
      <c r="P6" s="20"/>
      <c r="Q6" s="20"/>
      <c r="R6" s="20"/>
      <c r="S6" s="21" t="s">
        <v>188</v>
      </c>
      <c r="T6" s="21" t="s">
        <v>189</v>
      </c>
      <c r="U6" s="21"/>
      <c r="V6" s="21"/>
      <c r="W6" s="21"/>
      <c r="X6" s="20"/>
      <c r="Y6" s="21"/>
      <c r="Z6" s="21"/>
      <c r="AA6" s="20"/>
      <c r="AB6" s="20"/>
      <c r="AC6" s="21"/>
      <c r="AD6" s="21"/>
      <c r="AE6" s="21"/>
      <c r="AF6" s="21"/>
    </row>
    <row r="7" spans="1:32" ht="228" x14ac:dyDescent="0.25">
      <c r="A7" s="20" t="s">
        <v>148</v>
      </c>
      <c r="B7" s="20"/>
      <c r="C7" s="20"/>
      <c r="D7" s="21" t="s">
        <v>191</v>
      </c>
      <c r="E7" s="20" t="s">
        <v>192</v>
      </c>
      <c r="F7" s="22" t="s">
        <v>193</v>
      </c>
      <c r="G7" s="21" t="s">
        <v>194</v>
      </c>
      <c r="H7" s="24" t="s">
        <v>195</v>
      </c>
      <c r="I7" s="21" t="s">
        <v>196</v>
      </c>
      <c r="J7" s="21" t="s">
        <v>197</v>
      </c>
      <c r="K7" s="21" t="s">
        <v>198</v>
      </c>
      <c r="L7" s="21" t="s">
        <v>173</v>
      </c>
      <c r="M7" s="23"/>
      <c r="N7" s="20" t="s">
        <v>158</v>
      </c>
      <c r="O7" s="20"/>
      <c r="P7" s="20"/>
      <c r="Q7" s="20"/>
      <c r="R7" s="20"/>
      <c r="S7" s="21" t="s">
        <v>199</v>
      </c>
      <c r="T7" s="21" t="s">
        <v>200</v>
      </c>
      <c r="U7" s="21" t="s">
        <v>161</v>
      </c>
      <c r="V7" s="21"/>
      <c r="W7" s="21"/>
      <c r="X7" s="20"/>
      <c r="Y7" s="21"/>
      <c r="Z7" s="21"/>
      <c r="AA7" s="20"/>
      <c r="AB7" s="20"/>
      <c r="AC7" s="21"/>
      <c r="AD7" s="21"/>
      <c r="AE7" s="21"/>
      <c r="AF7" s="21"/>
    </row>
    <row r="8" spans="1:32" ht="276" x14ac:dyDescent="0.25">
      <c r="A8" s="20" t="s">
        <v>148</v>
      </c>
      <c r="B8" s="20"/>
      <c r="C8" s="20"/>
      <c r="D8" s="21" t="s">
        <v>191</v>
      </c>
      <c r="E8" s="20" t="s">
        <v>192</v>
      </c>
      <c r="F8" s="22" t="s">
        <v>193</v>
      </c>
      <c r="G8" s="21" t="s">
        <v>194</v>
      </c>
      <c r="H8" s="21" t="s">
        <v>202</v>
      </c>
      <c r="I8" s="21" t="s">
        <v>203</v>
      </c>
      <c r="J8" s="21" t="s">
        <v>204</v>
      </c>
      <c r="K8" s="21" t="s">
        <v>205</v>
      </c>
      <c r="L8" s="21" t="s">
        <v>157</v>
      </c>
      <c r="M8" s="23"/>
      <c r="N8" s="20"/>
      <c r="O8" s="20"/>
      <c r="P8" s="20"/>
      <c r="Q8" s="20"/>
      <c r="R8" s="20"/>
      <c r="S8" s="21" t="s">
        <v>206</v>
      </c>
      <c r="T8" s="21" t="s">
        <v>207</v>
      </c>
      <c r="U8" s="21" t="s">
        <v>161</v>
      </c>
      <c r="V8" s="21"/>
      <c r="W8" s="21"/>
      <c r="X8" s="20"/>
      <c r="Y8" s="21"/>
      <c r="Z8" s="21"/>
      <c r="AA8" s="20"/>
      <c r="AB8" s="20"/>
      <c r="AC8" s="21"/>
      <c r="AD8" s="21"/>
      <c r="AE8" s="21"/>
      <c r="AF8" s="21"/>
    </row>
    <row r="9" spans="1:32" ht="300" x14ac:dyDescent="0.25">
      <c r="A9" s="20" t="s">
        <v>148</v>
      </c>
      <c r="B9" s="20"/>
      <c r="C9" s="20"/>
      <c r="D9" s="21" t="s">
        <v>191</v>
      </c>
      <c r="E9" s="20" t="s">
        <v>192</v>
      </c>
      <c r="F9" s="22" t="s">
        <v>193</v>
      </c>
      <c r="G9" s="21" t="s">
        <v>194</v>
      </c>
      <c r="H9" s="21" t="s">
        <v>209</v>
      </c>
      <c r="I9" s="21" t="s">
        <v>210</v>
      </c>
      <c r="J9" s="21" t="s">
        <v>211</v>
      </c>
      <c r="K9" s="21" t="s">
        <v>212</v>
      </c>
      <c r="L9" s="21" t="s">
        <v>157</v>
      </c>
      <c r="M9" s="23"/>
      <c r="N9" s="20"/>
      <c r="O9" s="20"/>
      <c r="P9" s="20"/>
      <c r="Q9" s="20"/>
      <c r="R9" s="20"/>
      <c r="S9" s="21" t="s">
        <v>206</v>
      </c>
      <c r="T9" s="21" t="s">
        <v>213</v>
      </c>
      <c r="U9" s="21" t="s">
        <v>161</v>
      </c>
      <c r="V9" s="21"/>
      <c r="W9" s="21"/>
      <c r="X9" s="20"/>
      <c r="Y9" s="21"/>
      <c r="Z9" s="21"/>
      <c r="AA9" s="20"/>
      <c r="AB9" s="20"/>
      <c r="AC9" s="21"/>
      <c r="AD9" s="21"/>
      <c r="AE9" s="21"/>
      <c r="AF9" s="21"/>
    </row>
    <row r="10" spans="1:32" ht="252" x14ac:dyDescent="0.25">
      <c r="A10" s="20" t="s">
        <v>148</v>
      </c>
      <c r="B10" s="20"/>
      <c r="C10" s="20"/>
      <c r="D10" s="21" t="s">
        <v>191</v>
      </c>
      <c r="E10" s="20" t="s">
        <v>192</v>
      </c>
      <c r="F10" s="22" t="s">
        <v>193</v>
      </c>
      <c r="G10" s="21" t="s">
        <v>194</v>
      </c>
      <c r="H10" s="21" t="s">
        <v>214</v>
      </c>
      <c r="I10" s="21" t="s">
        <v>215</v>
      </c>
      <c r="J10" s="21" t="s">
        <v>216</v>
      </c>
      <c r="K10" s="21" t="s">
        <v>217</v>
      </c>
      <c r="L10" s="21" t="s">
        <v>181</v>
      </c>
      <c r="M10" s="23"/>
      <c r="N10" s="20"/>
      <c r="O10" s="20"/>
      <c r="P10" s="20"/>
      <c r="Q10" s="20"/>
      <c r="R10" s="20"/>
      <c r="S10" s="21" t="s">
        <v>218</v>
      </c>
      <c r="T10" s="21" t="s">
        <v>219</v>
      </c>
      <c r="U10" s="21" t="s">
        <v>161</v>
      </c>
      <c r="V10" s="21"/>
      <c r="W10" s="21"/>
      <c r="X10" s="20"/>
      <c r="Y10" s="21"/>
      <c r="Z10" s="21"/>
      <c r="AA10" s="20"/>
      <c r="AB10" s="20"/>
      <c r="AC10" s="21"/>
      <c r="AD10" s="21"/>
      <c r="AE10" s="21"/>
      <c r="AF10" s="21"/>
    </row>
    <row r="11" spans="1:32" ht="180" x14ac:dyDescent="0.25">
      <c r="A11" s="20" t="s">
        <v>148</v>
      </c>
      <c r="B11" s="20"/>
      <c r="C11" s="20"/>
      <c r="D11" s="21" t="s">
        <v>191</v>
      </c>
      <c r="E11" s="20" t="s">
        <v>192</v>
      </c>
      <c r="F11" s="22" t="s">
        <v>193</v>
      </c>
      <c r="G11" s="21" t="s">
        <v>194</v>
      </c>
      <c r="H11" s="21" t="s">
        <v>220</v>
      </c>
      <c r="I11" s="21" t="s">
        <v>221</v>
      </c>
      <c r="J11" s="21" t="s">
        <v>222</v>
      </c>
      <c r="K11" s="21" t="s">
        <v>223</v>
      </c>
      <c r="L11" s="21" t="s">
        <v>181</v>
      </c>
      <c r="M11" s="23"/>
      <c r="N11" s="20"/>
      <c r="O11" s="20"/>
      <c r="P11" s="20"/>
      <c r="Q11" s="20"/>
      <c r="R11" s="20">
        <f>Table1[[#This Row],[Consequence '[1..5']]]*Table1[[#This Row],[Likelihood '[1..5']]]*Table1[[#This Row],[Detectability '[1..5']]]</f>
        <v>0</v>
      </c>
      <c r="S11" s="21" t="s">
        <v>224</v>
      </c>
      <c r="T11" s="21" t="s">
        <v>225</v>
      </c>
      <c r="U11" s="21" t="s">
        <v>161</v>
      </c>
      <c r="V11" s="21"/>
      <c r="W11" s="21"/>
      <c r="X11" s="20"/>
      <c r="Y11" s="21"/>
      <c r="Z11" s="21"/>
      <c r="AA11" s="20"/>
      <c r="AB11" s="20"/>
      <c r="AC11" s="21"/>
      <c r="AD11" s="21"/>
      <c r="AE11" s="21"/>
      <c r="AF11" s="21"/>
    </row>
    <row r="12" spans="1:32" ht="192" x14ac:dyDescent="0.25">
      <c r="A12" s="20" t="s">
        <v>148</v>
      </c>
      <c r="B12" s="20"/>
      <c r="C12" s="20"/>
      <c r="D12" s="21" t="s">
        <v>226</v>
      </c>
      <c r="E12" s="20" t="s">
        <v>227</v>
      </c>
      <c r="F12" s="22" t="s">
        <v>228</v>
      </c>
      <c r="G12" s="21" t="s">
        <v>229</v>
      </c>
      <c r="H12" s="21" t="s">
        <v>230</v>
      </c>
      <c r="I12" s="21" t="s">
        <v>231</v>
      </c>
      <c r="J12" s="21" t="s">
        <v>232</v>
      </c>
      <c r="K12" s="21" t="s">
        <v>233</v>
      </c>
      <c r="L12" s="21" t="s">
        <v>157</v>
      </c>
      <c r="M12" s="23"/>
      <c r="N12" s="20" t="s">
        <v>158</v>
      </c>
      <c r="O12" s="20"/>
      <c r="P12" s="20"/>
      <c r="Q12" s="20"/>
      <c r="R12" s="20">
        <f>Table1[[#This Row],[Consequence '[1..5']]]*Table1[[#This Row],[Likelihood '[1..5']]]*Table1[[#This Row],[Detectability '[1..5']]]</f>
        <v>0</v>
      </c>
      <c r="S12" s="21" t="s">
        <v>234</v>
      </c>
      <c r="T12" s="21" t="s">
        <v>235</v>
      </c>
      <c r="U12" s="21" t="s">
        <v>161</v>
      </c>
      <c r="V12" s="21"/>
      <c r="W12" s="21"/>
      <c r="X12" s="20"/>
      <c r="Y12" s="21"/>
      <c r="Z12" s="21"/>
      <c r="AA12" s="20"/>
      <c r="AB12" s="20"/>
      <c r="AC12" s="21"/>
      <c r="AD12" s="21"/>
      <c r="AE12" s="21"/>
      <c r="AF12" s="21"/>
    </row>
    <row r="13" spans="1:32" ht="216" x14ac:dyDescent="0.25">
      <c r="A13" s="20" t="s">
        <v>148</v>
      </c>
      <c r="B13" s="20"/>
      <c r="C13" s="20"/>
      <c r="D13" s="21" t="s">
        <v>226</v>
      </c>
      <c r="E13" s="20" t="s">
        <v>227</v>
      </c>
      <c r="F13" s="22" t="s">
        <v>228</v>
      </c>
      <c r="G13" s="21" t="s">
        <v>229</v>
      </c>
      <c r="H13" s="21" t="s">
        <v>236</v>
      </c>
      <c r="I13" s="21" t="s">
        <v>237</v>
      </c>
      <c r="J13" s="21" t="s">
        <v>238</v>
      </c>
      <c r="K13" s="21" t="s">
        <v>239</v>
      </c>
      <c r="L13" s="21" t="s">
        <v>157</v>
      </c>
      <c r="M13" s="23"/>
      <c r="N13" s="20"/>
      <c r="O13" s="20"/>
      <c r="P13" s="20"/>
      <c r="Q13" s="20"/>
      <c r="R13" s="20">
        <f>Table1[[#This Row],[Consequence '[1..5']]]*Table1[[#This Row],[Likelihood '[1..5']]]*Table1[[#This Row],[Detectability '[1..5']]]</f>
        <v>0</v>
      </c>
      <c r="S13" s="21" t="s">
        <v>240</v>
      </c>
      <c r="T13" s="21" t="s">
        <v>241</v>
      </c>
      <c r="U13" s="21" t="s">
        <v>161</v>
      </c>
      <c r="V13" s="21"/>
      <c r="W13" s="21"/>
      <c r="X13" s="20"/>
      <c r="Y13" s="21"/>
      <c r="Z13" s="21"/>
      <c r="AA13" s="20"/>
      <c r="AB13" s="20"/>
      <c r="AC13" s="21"/>
      <c r="AD13" s="21"/>
      <c r="AE13" s="21"/>
      <c r="AF13" s="21"/>
    </row>
    <row r="14" spans="1:32" ht="156" x14ac:dyDescent="0.25">
      <c r="A14" s="20" t="s">
        <v>148</v>
      </c>
      <c r="B14" s="20"/>
      <c r="C14" s="20"/>
      <c r="D14" s="21" t="s">
        <v>226</v>
      </c>
      <c r="E14" s="20" t="s">
        <v>227</v>
      </c>
      <c r="F14" s="22" t="s">
        <v>228</v>
      </c>
      <c r="G14" s="21" t="s">
        <v>229</v>
      </c>
      <c r="H14" s="21" t="s">
        <v>242</v>
      </c>
      <c r="I14" s="21" t="s">
        <v>243</v>
      </c>
      <c r="J14" s="21" t="s">
        <v>244</v>
      </c>
      <c r="K14" s="21" t="s">
        <v>245</v>
      </c>
      <c r="L14" s="21" t="s">
        <v>157</v>
      </c>
      <c r="M14" s="23"/>
      <c r="N14" s="20" t="s">
        <v>158</v>
      </c>
      <c r="O14" s="20"/>
      <c r="P14" s="20"/>
      <c r="Q14" s="20"/>
      <c r="R14" s="20">
        <f>Table1[[#This Row],[Consequence '[1..5']]]*Table1[[#This Row],[Likelihood '[1..5']]]*Table1[[#This Row],[Detectability '[1..5']]]</f>
        <v>0</v>
      </c>
      <c r="S14" s="21" t="s">
        <v>246</v>
      </c>
      <c r="T14" s="21" t="s">
        <v>247</v>
      </c>
      <c r="U14" s="21" t="s">
        <v>161</v>
      </c>
      <c r="V14" s="21"/>
      <c r="W14" s="21"/>
      <c r="X14" s="20"/>
      <c r="Y14" s="21"/>
      <c r="Z14" s="21"/>
      <c r="AA14" s="20"/>
      <c r="AB14" s="20"/>
      <c r="AC14" s="21"/>
      <c r="AD14" s="21"/>
      <c r="AE14" s="21"/>
      <c r="AF14" s="21"/>
    </row>
    <row r="15" spans="1:32" ht="168" x14ac:dyDescent="0.25">
      <c r="A15" s="20" t="s">
        <v>148</v>
      </c>
      <c r="B15" s="20"/>
      <c r="C15" s="20"/>
      <c r="D15" s="21" t="s">
        <v>226</v>
      </c>
      <c r="E15" s="20" t="s">
        <v>227</v>
      </c>
      <c r="F15" s="22" t="s">
        <v>228</v>
      </c>
      <c r="G15" s="21" t="s">
        <v>229</v>
      </c>
      <c r="H15" s="21" t="s">
        <v>248</v>
      </c>
      <c r="I15" s="21" t="s">
        <v>249</v>
      </c>
      <c r="J15" s="21" t="s">
        <v>250</v>
      </c>
      <c r="K15" s="21" t="s">
        <v>251</v>
      </c>
      <c r="L15" s="21" t="s">
        <v>157</v>
      </c>
      <c r="M15" s="23"/>
      <c r="N15" s="20"/>
      <c r="O15" s="20"/>
      <c r="P15" s="20"/>
      <c r="Q15" s="20"/>
      <c r="R15" s="20">
        <f>Table1[[#This Row],[Consequence '[1..5']]]*Table1[[#This Row],[Likelihood '[1..5']]]*Table1[[#This Row],[Detectability '[1..5']]]</f>
        <v>0</v>
      </c>
      <c r="S15" s="21" t="s">
        <v>252</v>
      </c>
      <c r="T15" s="21" t="s">
        <v>253</v>
      </c>
      <c r="U15" s="21" t="s">
        <v>161</v>
      </c>
      <c r="V15" s="21"/>
      <c r="W15" s="21"/>
      <c r="X15" s="20"/>
      <c r="Y15" s="21"/>
      <c r="Z15" s="21"/>
      <c r="AA15" s="20"/>
      <c r="AB15" s="20"/>
      <c r="AC15" s="21"/>
      <c r="AD15" s="21"/>
      <c r="AE15" s="21"/>
      <c r="AF15" s="21"/>
    </row>
    <row r="16" spans="1:32" ht="192" x14ac:dyDescent="0.25">
      <c r="A16" s="20" t="s">
        <v>148</v>
      </c>
      <c r="B16" s="20"/>
      <c r="C16" s="20"/>
      <c r="D16" s="21" t="s">
        <v>254</v>
      </c>
      <c r="E16" s="20" t="s">
        <v>255</v>
      </c>
      <c r="F16" s="22" t="s">
        <v>256</v>
      </c>
      <c r="G16" s="21" t="s">
        <v>257</v>
      </c>
      <c r="H16" s="21" t="s">
        <v>258</v>
      </c>
      <c r="I16" s="21" t="s">
        <v>259</v>
      </c>
      <c r="J16" s="21" t="s">
        <v>260</v>
      </c>
      <c r="K16" s="21" t="s">
        <v>261</v>
      </c>
      <c r="L16" s="21" t="s">
        <v>157</v>
      </c>
      <c r="M16" s="23"/>
      <c r="N16" s="20"/>
      <c r="O16" s="20"/>
      <c r="P16" s="20"/>
      <c r="Q16" s="20"/>
      <c r="R16" s="20">
        <f>Table1[[#This Row],[Consequence '[1..5']]]*Table1[[#This Row],[Likelihood '[1..5']]]*Table1[[#This Row],[Detectability '[1..5']]]</f>
        <v>0</v>
      </c>
      <c r="S16" s="21" t="s">
        <v>262</v>
      </c>
      <c r="T16" s="21" t="s">
        <v>263</v>
      </c>
      <c r="U16" s="21" t="s">
        <v>161</v>
      </c>
      <c r="V16" s="21"/>
      <c r="W16" s="21"/>
      <c r="X16" s="20"/>
      <c r="Y16" s="21"/>
      <c r="Z16" s="21"/>
      <c r="AA16" s="20"/>
      <c r="AB16" s="20"/>
      <c r="AC16" s="21"/>
      <c r="AD16" s="21"/>
      <c r="AE16" s="21"/>
      <c r="AF16" s="21"/>
    </row>
    <row r="17" spans="1:32" ht="204" x14ac:dyDescent="0.25">
      <c r="A17" s="20" t="s">
        <v>148</v>
      </c>
      <c r="B17" s="20"/>
      <c r="C17" s="20"/>
      <c r="D17" s="21" t="s">
        <v>254</v>
      </c>
      <c r="E17" s="20" t="s">
        <v>255</v>
      </c>
      <c r="F17" s="22" t="s">
        <v>256</v>
      </c>
      <c r="G17" s="21" t="s">
        <v>257</v>
      </c>
      <c r="H17" s="21" t="s">
        <v>264</v>
      </c>
      <c r="I17" s="21" t="s">
        <v>265</v>
      </c>
      <c r="J17" s="21" t="s">
        <v>266</v>
      </c>
      <c r="K17" s="21" t="s">
        <v>267</v>
      </c>
      <c r="L17" s="21" t="s">
        <v>157</v>
      </c>
      <c r="M17" s="23"/>
      <c r="N17" s="20"/>
      <c r="O17" s="20"/>
      <c r="P17" s="20"/>
      <c r="Q17" s="20"/>
      <c r="R17" s="20">
        <f>Table1[[#This Row],[Consequence '[1..5']]]*Table1[[#This Row],[Likelihood '[1..5']]]*Table1[[#This Row],[Detectability '[1..5']]]</f>
        <v>0</v>
      </c>
      <c r="S17" s="21" t="s">
        <v>268</v>
      </c>
      <c r="T17" s="21" t="s">
        <v>269</v>
      </c>
      <c r="U17" s="21" t="s">
        <v>161</v>
      </c>
      <c r="V17" s="21"/>
      <c r="W17" s="21"/>
      <c r="X17" s="20"/>
      <c r="Y17" s="21"/>
      <c r="Z17" s="21"/>
      <c r="AA17" s="20"/>
      <c r="AB17" s="20"/>
      <c r="AC17" s="21"/>
      <c r="AD17" s="21"/>
      <c r="AE17" s="21"/>
      <c r="AF17" s="21"/>
    </row>
    <row r="18" spans="1:32" ht="204" x14ac:dyDescent="0.25">
      <c r="A18" s="20" t="s">
        <v>148</v>
      </c>
      <c r="B18" s="20"/>
      <c r="C18" s="20"/>
      <c r="D18" s="21" t="s">
        <v>254</v>
      </c>
      <c r="E18" s="20" t="s">
        <v>255</v>
      </c>
      <c r="F18" s="22" t="s">
        <v>256</v>
      </c>
      <c r="G18" s="21" t="s">
        <v>257</v>
      </c>
      <c r="H18" s="21" t="s">
        <v>270</v>
      </c>
      <c r="I18" s="21" t="s">
        <v>271</v>
      </c>
      <c r="J18" s="21" t="s">
        <v>272</v>
      </c>
      <c r="K18" s="21" t="s">
        <v>273</v>
      </c>
      <c r="L18" s="21" t="s">
        <v>157</v>
      </c>
      <c r="M18" s="23"/>
      <c r="N18" s="20"/>
      <c r="O18" s="20"/>
      <c r="P18" s="20"/>
      <c r="Q18" s="20"/>
      <c r="R18" s="20">
        <f>Table1[[#This Row],[Consequence '[1..5']]]*Table1[[#This Row],[Likelihood '[1..5']]]*Table1[[#This Row],[Detectability '[1..5']]]</f>
        <v>0</v>
      </c>
      <c r="S18" s="21" t="s">
        <v>268</v>
      </c>
      <c r="T18" s="21" t="s">
        <v>269</v>
      </c>
      <c r="U18" s="21" t="s">
        <v>161</v>
      </c>
      <c r="V18" s="21"/>
      <c r="W18" s="21"/>
      <c r="X18" s="20"/>
      <c r="Y18" s="21"/>
      <c r="Z18" s="21"/>
      <c r="AA18" s="20"/>
      <c r="AB18" s="20"/>
      <c r="AC18" s="21"/>
      <c r="AD18" s="21"/>
      <c r="AE18" s="21"/>
      <c r="AF18" s="21"/>
    </row>
    <row r="19" spans="1:32" ht="192" x14ac:dyDescent="0.25">
      <c r="A19" s="20" t="s">
        <v>148</v>
      </c>
      <c r="B19" s="20"/>
      <c r="C19" s="20"/>
      <c r="D19" s="21" t="s">
        <v>254</v>
      </c>
      <c r="E19" s="20" t="s">
        <v>255</v>
      </c>
      <c r="F19" s="22" t="s">
        <v>256</v>
      </c>
      <c r="G19" s="21" t="s">
        <v>257</v>
      </c>
      <c r="H19" s="21" t="s">
        <v>274</v>
      </c>
      <c r="I19" s="21" t="s">
        <v>275</v>
      </c>
      <c r="J19" s="21" t="s">
        <v>276</v>
      </c>
      <c r="K19" s="21" t="s">
        <v>277</v>
      </c>
      <c r="L19" s="21" t="s">
        <v>181</v>
      </c>
      <c r="M19" s="23"/>
      <c r="N19" s="20"/>
      <c r="O19" s="20"/>
      <c r="P19" s="20"/>
      <c r="Q19" s="20"/>
      <c r="R19" s="20">
        <f>Table1[[#This Row],[Consequence '[1..5']]]*Table1[[#This Row],[Likelihood '[1..5']]]*Table1[[#This Row],[Detectability '[1..5']]]</f>
        <v>0</v>
      </c>
      <c r="S19" s="21" t="s">
        <v>278</v>
      </c>
      <c r="T19" s="21" t="s">
        <v>279</v>
      </c>
      <c r="U19" s="21" t="s">
        <v>161</v>
      </c>
      <c r="V19" s="21"/>
      <c r="W19" s="21"/>
      <c r="X19" s="20"/>
      <c r="Y19" s="21"/>
      <c r="Z19" s="21"/>
      <c r="AA19" s="20"/>
      <c r="AB19" s="20"/>
      <c r="AC19" s="21"/>
      <c r="AD19" s="21"/>
      <c r="AE19" s="21"/>
      <c r="AF19" s="21"/>
    </row>
    <row r="20" spans="1:32" ht="108" x14ac:dyDescent="0.25">
      <c r="A20" s="20" t="s">
        <v>148</v>
      </c>
      <c r="B20" s="20"/>
      <c r="C20" s="20"/>
      <c r="D20" s="21" t="s">
        <v>280</v>
      </c>
      <c r="E20" s="20" t="s">
        <v>150</v>
      </c>
      <c r="F20" s="22" t="s">
        <v>281</v>
      </c>
      <c r="G20" s="21" t="s">
        <v>282</v>
      </c>
      <c r="H20" s="21" t="s">
        <v>283</v>
      </c>
      <c r="I20" s="21" t="s">
        <v>284</v>
      </c>
      <c r="J20" s="21" t="s">
        <v>285</v>
      </c>
      <c r="K20" s="21" t="s">
        <v>286</v>
      </c>
      <c r="L20" s="21" t="s">
        <v>181</v>
      </c>
      <c r="M20" s="23"/>
      <c r="N20" s="20"/>
      <c r="O20" s="20"/>
      <c r="P20" s="20"/>
      <c r="Q20" s="20"/>
      <c r="R20" s="20">
        <f>Table1[[#This Row],[Consequence '[1..5']]]*Table1[[#This Row],[Likelihood '[1..5']]]*Table1[[#This Row],[Detectability '[1..5']]]</f>
        <v>0</v>
      </c>
      <c r="S20" s="21" t="s">
        <v>287</v>
      </c>
      <c r="T20" s="21" t="s">
        <v>288</v>
      </c>
      <c r="U20" s="21"/>
      <c r="V20" s="21"/>
      <c r="W20" s="21"/>
      <c r="X20" s="20"/>
      <c r="Y20" s="21"/>
      <c r="Z20" s="21"/>
      <c r="AA20" s="20"/>
      <c r="AB20" s="20"/>
      <c r="AC20" s="21"/>
      <c r="AD20" s="21"/>
      <c r="AE20" s="21"/>
      <c r="AF20" s="21"/>
    </row>
    <row r="21" spans="1:32" ht="144" x14ac:dyDescent="0.25">
      <c r="A21" s="20" t="s">
        <v>148</v>
      </c>
      <c r="B21" s="20"/>
      <c r="C21" s="20"/>
      <c r="D21" s="21" t="s">
        <v>280</v>
      </c>
      <c r="E21" s="20" t="s">
        <v>150</v>
      </c>
      <c r="F21" s="22" t="s">
        <v>281</v>
      </c>
      <c r="G21" s="21" t="s">
        <v>282</v>
      </c>
      <c r="H21" s="21" t="s">
        <v>289</v>
      </c>
      <c r="I21" s="21" t="s">
        <v>290</v>
      </c>
      <c r="J21" s="21" t="s">
        <v>291</v>
      </c>
      <c r="K21" s="21" t="s">
        <v>292</v>
      </c>
      <c r="L21" s="21" t="s">
        <v>157</v>
      </c>
      <c r="M21" s="23"/>
      <c r="N21" s="20"/>
      <c r="O21" s="20"/>
      <c r="P21" s="20"/>
      <c r="Q21" s="20"/>
      <c r="R21" s="20">
        <f>Table1[[#This Row],[Consequence '[1..5']]]*Table1[[#This Row],[Likelihood '[1..5']]]*Table1[[#This Row],[Detectability '[1..5']]]</f>
        <v>0</v>
      </c>
      <c r="S21" s="21" t="s">
        <v>293</v>
      </c>
      <c r="T21" s="21" t="s">
        <v>294</v>
      </c>
      <c r="U21" s="21" t="s">
        <v>161</v>
      </c>
      <c r="V21" s="21"/>
      <c r="W21" s="21"/>
      <c r="X21" s="20"/>
      <c r="Y21" s="21"/>
      <c r="Z21" s="21"/>
      <c r="AA21" s="20"/>
      <c r="AB21" s="20"/>
      <c r="AC21" s="21"/>
      <c r="AD21" s="21"/>
      <c r="AE21" s="21"/>
      <c r="AF21" s="21"/>
    </row>
    <row r="22" spans="1:32" ht="156" x14ac:dyDescent="0.25">
      <c r="A22" s="20" t="s">
        <v>148</v>
      </c>
      <c r="B22" s="20"/>
      <c r="C22" s="20"/>
      <c r="D22" s="21" t="s">
        <v>295</v>
      </c>
      <c r="E22" s="20" t="s">
        <v>150</v>
      </c>
      <c r="F22" s="22" t="s">
        <v>296</v>
      </c>
      <c r="G22" s="21" t="s">
        <v>297</v>
      </c>
      <c r="H22" s="21" t="s">
        <v>298</v>
      </c>
      <c r="I22" s="21" t="s">
        <v>290</v>
      </c>
      <c r="J22" s="21" t="s">
        <v>299</v>
      </c>
      <c r="K22" s="21" t="s">
        <v>300</v>
      </c>
      <c r="L22" s="21" t="s">
        <v>157</v>
      </c>
      <c r="M22" s="23"/>
      <c r="N22" s="20"/>
      <c r="O22" s="20"/>
      <c r="P22" s="20"/>
      <c r="Q22" s="20"/>
      <c r="R22" s="20">
        <f>Table1[[#This Row],[Consequence '[1..5']]]*Table1[[#This Row],[Likelihood '[1..5']]]*Table1[[#This Row],[Detectability '[1..5']]]</f>
        <v>0</v>
      </c>
      <c r="S22" s="21" t="s">
        <v>301</v>
      </c>
      <c r="T22" s="21" t="s">
        <v>302</v>
      </c>
      <c r="U22" s="21" t="s">
        <v>161</v>
      </c>
      <c r="V22" s="21"/>
      <c r="W22" s="21"/>
      <c r="X22" s="20"/>
      <c r="Y22" s="21"/>
      <c r="Z22" s="21"/>
      <c r="AA22" s="20"/>
      <c r="AB22" s="20"/>
      <c r="AC22" s="21"/>
      <c r="AD22" s="21"/>
      <c r="AE22" s="21"/>
      <c r="AF22" s="21"/>
    </row>
    <row r="23" spans="1:32" ht="192" x14ac:dyDescent="0.25">
      <c r="A23" s="20" t="s">
        <v>148</v>
      </c>
      <c r="B23" s="20"/>
      <c r="C23" s="20"/>
      <c r="D23" s="21" t="s">
        <v>295</v>
      </c>
      <c r="E23" s="20" t="s">
        <v>150</v>
      </c>
      <c r="F23" s="22" t="s">
        <v>296</v>
      </c>
      <c r="G23" s="21" t="s">
        <v>297</v>
      </c>
      <c r="H23" s="21" t="s">
        <v>303</v>
      </c>
      <c r="I23" s="21" t="s">
        <v>290</v>
      </c>
      <c r="J23" s="21" t="s">
        <v>304</v>
      </c>
      <c r="K23" s="21" t="s">
        <v>300</v>
      </c>
      <c r="L23" s="21" t="s">
        <v>181</v>
      </c>
      <c r="M23" s="23"/>
      <c r="N23" s="20"/>
      <c r="O23" s="20"/>
      <c r="P23" s="20"/>
      <c r="Q23" s="20"/>
      <c r="R23" s="20">
        <f>Table1[[#This Row],[Consequence '[1..5']]]*Table1[[#This Row],[Likelihood '[1..5']]]*Table1[[#This Row],[Detectability '[1..5']]]</f>
        <v>0</v>
      </c>
      <c r="S23" s="21" t="s">
        <v>305</v>
      </c>
      <c r="T23" s="21" t="s">
        <v>306</v>
      </c>
      <c r="U23" s="21" t="s">
        <v>161</v>
      </c>
      <c r="V23" s="21"/>
      <c r="W23" s="21"/>
      <c r="X23" s="20"/>
      <c r="Y23" s="21"/>
      <c r="Z23" s="21"/>
      <c r="AA23" s="21"/>
      <c r="AB23" s="21"/>
      <c r="AC23" s="21"/>
      <c r="AD23" s="21"/>
      <c r="AE23" s="21"/>
      <c r="AF23" s="21"/>
    </row>
    <row r="24" spans="1:32" ht="156" x14ac:dyDescent="0.25">
      <c r="A24" s="20" t="s">
        <v>148</v>
      </c>
      <c r="B24" s="20"/>
      <c r="C24" s="20"/>
      <c r="D24" s="21" t="s">
        <v>295</v>
      </c>
      <c r="E24" s="20" t="s">
        <v>150</v>
      </c>
      <c r="F24" s="22" t="s">
        <v>296</v>
      </c>
      <c r="G24" s="21" t="s">
        <v>297</v>
      </c>
      <c r="H24" s="21" t="s">
        <v>307</v>
      </c>
      <c r="I24" s="21" t="s">
        <v>308</v>
      </c>
      <c r="J24" s="21" t="s">
        <v>309</v>
      </c>
      <c r="K24" s="21" t="s">
        <v>310</v>
      </c>
      <c r="L24" s="21" t="s">
        <v>157</v>
      </c>
      <c r="M24" s="23"/>
      <c r="N24" s="20"/>
      <c r="O24" s="20"/>
      <c r="P24" s="20"/>
      <c r="Q24" s="20"/>
      <c r="R24" s="20">
        <f>Table1[[#This Row],[Consequence '[1..5']]]*Table1[[#This Row],[Likelihood '[1..5']]]*Table1[[#This Row],[Detectability '[1..5']]]</f>
        <v>0</v>
      </c>
      <c r="S24" s="21" t="s">
        <v>311</v>
      </c>
      <c r="T24" s="21" t="s">
        <v>312</v>
      </c>
      <c r="U24" s="21" t="s">
        <v>161</v>
      </c>
      <c r="V24" s="21"/>
      <c r="W24" s="21"/>
      <c r="X24" s="20"/>
      <c r="Y24" s="21"/>
      <c r="Z24" s="21"/>
      <c r="AA24" s="20"/>
      <c r="AB24" s="20"/>
      <c r="AC24" s="21"/>
      <c r="AD24" s="21"/>
      <c r="AE24" s="21"/>
      <c r="AF24" s="21"/>
    </row>
    <row r="25" spans="1:32" ht="108" x14ac:dyDescent="0.25">
      <c r="A25" s="20" t="s">
        <v>148</v>
      </c>
      <c r="B25" s="20"/>
      <c r="C25" s="20" t="s">
        <v>313</v>
      </c>
      <c r="D25" s="21" t="s">
        <v>314</v>
      </c>
      <c r="E25" s="20" t="s">
        <v>315</v>
      </c>
      <c r="F25" s="22" t="s">
        <v>316</v>
      </c>
      <c r="G25" s="21" t="s">
        <v>317</v>
      </c>
      <c r="H25" s="21" t="s">
        <v>318</v>
      </c>
      <c r="I25" s="21" t="s">
        <v>319</v>
      </c>
      <c r="J25" s="21" t="s">
        <v>320</v>
      </c>
      <c r="K25" s="21" t="s">
        <v>321</v>
      </c>
      <c r="L25" s="21" t="s">
        <v>157</v>
      </c>
      <c r="M25" s="23"/>
      <c r="N25" s="20"/>
      <c r="O25" s="20"/>
      <c r="P25" s="20"/>
      <c r="Q25" s="20"/>
      <c r="R25" s="20">
        <f>Table1[[#This Row],[Consequence '[1..5']]]*Table1[[#This Row],[Likelihood '[1..5']]]*Table1[[#This Row],[Detectability '[1..5']]]</f>
        <v>0</v>
      </c>
      <c r="S25" s="21" t="s">
        <v>206</v>
      </c>
      <c r="T25" s="21" t="s">
        <v>322</v>
      </c>
      <c r="U25" s="21" t="s">
        <v>161</v>
      </c>
      <c r="V25" s="21"/>
      <c r="W25" s="21"/>
      <c r="X25" s="20"/>
      <c r="Y25" s="21"/>
      <c r="Z25" s="21"/>
      <c r="AA25" s="20"/>
      <c r="AB25" s="20"/>
      <c r="AC25" s="21"/>
      <c r="AD25" s="21"/>
      <c r="AE25" s="21"/>
      <c r="AF25" s="21"/>
    </row>
    <row r="26" spans="1:32" ht="96" x14ac:dyDescent="0.25">
      <c r="A26" s="20" t="s">
        <v>148</v>
      </c>
      <c r="B26" s="20"/>
      <c r="C26" s="20" t="s">
        <v>323</v>
      </c>
      <c r="D26" s="21" t="s">
        <v>314</v>
      </c>
      <c r="E26" s="20" t="s">
        <v>315</v>
      </c>
      <c r="F26" s="22" t="s">
        <v>316</v>
      </c>
      <c r="G26" s="21" t="s">
        <v>317</v>
      </c>
      <c r="H26" s="21" t="s">
        <v>324</v>
      </c>
      <c r="I26" s="21" t="s">
        <v>325</v>
      </c>
      <c r="J26" s="21" t="s">
        <v>326</v>
      </c>
      <c r="K26" s="21" t="s">
        <v>327</v>
      </c>
      <c r="L26" s="21" t="s">
        <v>328</v>
      </c>
      <c r="M26" s="23"/>
      <c r="N26" s="20"/>
      <c r="O26" s="20"/>
      <c r="P26" s="20"/>
      <c r="Q26" s="20"/>
      <c r="R26" s="20">
        <f>Table1[[#This Row],[Consequence '[1..5']]]*Table1[[#This Row],[Likelihood '[1..5']]]*Table1[[#This Row],[Detectability '[1..5']]]</f>
        <v>0</v>
      </c>
      <c r="S26" s="21" t="s">
        <v>329</v>
      </c>
      <c r="T26" s="21" t="s">
        <v>322</v>
      </c>
      <c r="U26" s="21" t="s">
        <v>161</v>
      </c>
      <c r="V26" s="21"/>
      <c r="W26" s="21"/>
      <c r="X26" s="20"/>
      <c r="Y26" s="21"/>
      <c r="Z26" s="21"/>
      <c r="AA26" s="21"/>
      <c r="AB26" s="21"/>
      <c r="AC26" s="21"/>
      <c r="AD26" s="21"/>
      <c r="AE26" s="21"/>
      <c r="AF26" s="21"/>
    </row>
    <row r="27" spans="1:32" ht="96" x14ac:dyDescent="0.25">
      <c r="A27" s="20" t="s">
        <v>148</v>
      </c>
      <c r="B27" s="20"/>
      <c r="C27" s="20" t="s">
        <v>323</v>
      </c>
      <c r="D27" s="21" t="s">
        <v>314</v>
      </c>
      <c r="E27" s="20" t="s">
        <v>315</v>
      </c>
      <c r="F27" s="22" t="s">
        <v>316</v>
      </c>
      <c r="G27" s="21" t="s">
        <v>317</v>
      </c>
      <c r="H27" s="21" t="s">
        <v>330</v>
      </c>
      <c r="I27" s="21" t="s">
        <v>331</v>
      </c>
      <c r="J27" s="21" t="s">
        <v>332</v>
      </c>
      <c r="K27" s="21" t="s">
        <v>333</v>
      </c>
      <c r="L27" s="21" t="s">
        <v>157</v>
      </c>
      <c r="M27" s="23"/>
      <c r="N27" s="20"/>
      <c r="O27" s="20"/>
      <c r="P27" s="20"/>
      <c r="Q27" s="20"/>
      <c r="R27" s="20">
        <f>Table1[[#This Row],[Consequence '[1..5']]]*Table1[[#This Row],[Likelihood '[1..5']]]*Table1[[#This Row],[Detectability '[1..5']]]</f>
        <v>0</v>
      </c>
      <c r="S27" s="21" t="s">
        <v>329</v>
      </c>
      <c r="T27" s="21" t="s">
        <v>322</v>
      </c>
      <c r="U27" s="21" t="s">
        <v>161</v>
      </c>
      <c r="V27" s="21"/>
      <c r="W27" s="21"/>
      <c r="X27" s="20"/>
      <c r="Y27" s="21"/>
      <c r="Z27" s="21"/>
      <c r="AA27" s="21"/>
      <c r="AB27" s="21"/>
      <c r="AC27" s="21"/>
      <c r="AD27" s="21"/>
      <c r="AE27" s="21"/>
      <c r="AF27" s="21"/>
    </row>
    <row r="28" spans="1:32" ht="204" x14ac:dyDescent="0.25">
      <c r="A28" s="20" t="s">
        <v>148</v>
      </c>
      <c r="B28" s="20"/>
      <c r="C28" s="20"/>
      <c r="D28" s="21" t="s">
        <v>334</v>
      </c>
      <c r="E28" s="20" t="s">
        <v>315</v>
      </c>
      <c r="F28" s="22" t="s">
        <v>335</v>
      </c>
      <c r="G28" s="21" t="s">
        <v>336</v>
      </c>
      <c r="H28" s="21" t="s">
        <v>337</v>
      </c>
      <c r="I28" s="21" t="s">
        <v>338</v>
      </c>
      <c r="J28" s="21" t="s">
        <v>339</v>
      </c>
      <c r="K28" s="21" t="s">
        <v>340</v>
      </c>
      <c r="L28" s="21" t="s">
        <v>157</v>
      </c>
      <c r="M28" s="23"/>
      <c r="N28" s="20"/>
      <c r="O28" s="20"/>
      <c r="P28" s="20"/>
      <c r="Q28" s="20"/>
      <c r="R28" s="20">
        <f>Table1[[#This Row],[Consequence '[1..5']]]*Table1[[#This Row],[Likelihood '[1..5']]]*Table1[[#This Row],[Detectability '[1..5']]]</f>
        <v>0</v>
      </c>
      <c r="S28" s="21" t="s">
        <v>341</v>
      </c>
      <c r="T28" s="21" t="s">
        <v>342</v>
      </c>
      <c r="U28" s="21"/>
      <c r="V28" s="21"/>
      <c r="W28" s="21"/>
      <c r="X28" s="20"/>
      <c r="Y28" s="21"/>
      <c r="Z28" s="21"/>
      <c r="AA28" s="21"/>
      <c r="AB28" s="21"/>
      <c r="AC28" s="21"/>
      <c r="AD28" s="21"/>
      <c r="AE28" s="21"/>
      <c r="AF28" s="21"/>
    </row>
    <row r="29" spans="1:32" ht="204" x14ac:dyDescent="0.25">
      <c r="A29" s="20" t="s">
        <v>148</v>
      </c>
      <c r="B29" s="20"/>
      <c r="C29" s="20"/>
      <c r="D29" s="21" t="s">
        <v>334</v>
      </c>
      <c r="E29" s="20" t="s">
        <v>315</v>
      </c>
      <c r="F29" s="22" t="s">
        <v>335</v>
      </c>
      <c r="G29" s="21" t="s">
        <v>336</v>
      </c>
      <c r="H29" s="21" t="s">
        <v>289</v>
      </c>
      <c r="I29" s="21" t="s">
        <v>343</v>
      </c>
      <c r="J29" s="21" t="s">
        <v>344</v>
      </c>
      <c r="K29" s="21" t="s">
        <v>345</v>
      </c>
      <c r="L29" s="21" t="s">
        <v>181</v>
      </c>
      <c r="M29" s="23"/>
      <c r="N29" s="20"/>
      <c r="O29" s="20"/>
      <c r="P29" s="20"/>
      <c r="Q29" s="20"/>
      <c r="R29" s="20">
        <f>Table1[[#This Row],[Consequence '[1..5']]]*Table1[[#This Row],[Likelihood '[1..5']]]*Table1[[#This Row],[Detectability '[1..5']]]</f>
        <v>0</v>
      </c>
      <c r="S29" s="21" t="s">
        <v>341</v>
      </c>
      <c r="T29" s="21" t="s">
        <v>342</v>
      </c>
      <c r="U29" s="21"/>
      <c r="V29" s="21"/>
      <c r="W29" s="21"/>
      <c r="X29" s="20"/>
      <c r="Y29" s="21"/>
      <c r="Z29" s="21"/>
      <c r="AA29" s="21"/>
      <c r="AB29" s="21"/>
      <c r="AC29" s="21"/>
      <c r="AD29" s="21"/>
      <c r="AE29" s="21"/>
      <c r="AF29" s="21"/>
    </row>
    <row r="30" spans="1:32" ht="108" x14ac:dyDescent="0.25">
      <c r="A30" s="20" t="s">
        <v>148</v>
      </c>
      <c r="B30" s="20"/>
      <c r="C30" s="20"/>
      <c r="D30" s="21" t="s">
        <v>334</v>
      </c>
      <c r="E30" s="20" t="s">
        <v>315</v>
      </c>
      <c r="F30" s="22" t="s">
        <v>335</v>
      </c>
      <c r="G30" s="21" t="s">
        <v>336</v>
      </c>
      <c r="H30" s="21" t="s">
        <v>346</v>
      </c>
      <c r="I30" s="21" t="s">
        <v>347</v>
      </c>
      <c r="J30" s="21" t="s">
        <v>348</v>
      </c>
      <c r="K30" s="21" t="s">
        <v>349</v>
      </c>
      <c r="L30" s="21" t="s">
        <v>157</v>
      </c>
      <c r="M30" s="23"/>
      <c r="N30" s="20"/>
      <c r="O30" s="20"/>
      <c r="P30" s="20"/>
      <c r="Q30" s="20"/>
      <c r="R30" s="20">
        <f>Table1[[#This Row],[Consequence '[1..5']]]*Table1[[#This Row],[Likelihood '[1..5']]]*Table1[[#This Row],[Detectability '[1..5']]]</f>
        <v>0</v>
      </c>
      <c r="S30" s="21" t="s">
        <v>350</v>
      </c>
      <c r="T30" s="21" t="s">
        <v>351</v>
      </c>
      <c r="U30" s="21" t="s">
        <v>161</v>
      </c>
      <c r="V30" s="21"/>
      <c r="W30" s="21"/>
      <c r="X30" s="20"/>
      <c r="Y30" s="21"/>
      <c r="Z30" s="21"/>
      <c r="AA30" s="21"/>
      <c r="AB30" s="21"/>
      <c r="AC30" s="21"/>
      <c r="AD30" s="21"/>
      <c r="AE30" s="21"/>
      <c r="AF30" s="21"/>
    </row>
    <row r="31" spans="1:32" ht="156" x14ac:dyDescent="0.25">
      <c r="A31" s="20" t="s">
        <v>148</v>
      </c>
      <c r="B31" s="20"/>
      <c r="C31" s="20"/>
      <c r="D31" s="21" t="s">
        <v>334</v>
      </c>
      <c r="E31" s="20" t="s">
        <v>315</v>
      </c>
      <c r="F31" s="22" t="s">
        <v>335</v>
      </c>
      <c r="G31" s="21" t="s">
        <v>336</v>
      </c>
      <c r="H31" s="21" t="s">
        <v>352</v>
      </c>
      <c r="I31" s="21" t="s">
        <v>353</v>
      </c>
      <c r="J31" s="21" t="s">
        <v>354</v>
      </c>
      <c r="K31" s="21" t="s">
        <v>355</v>
      </c>
      <c r="L31" s="21" t="s">
        <v>181</v>
      </c>
      <c r="M31" s="23"/>
      <c r="N31" s="20"/>
      <c r="O31" s="20"/>
      <c r="P31" s="20"/>
      <c r="Q31" s="20"/>
      <c r="R31" s="20">
        <f>Table1[[#This Row],[Consequence '[1..5']]]*Table1[[#This Row],[Likelihood '[1..5']]]*Table1[[#This Row],[Detectability '[1..5']]]</f>
        <v>0</v>
      </c>
      <c r="S31" s="21" t="s">
        <v>350</v>
      </c>
      <c r="T31" s="21" t="s">
        <v>356</v>
      </c>
      <c r="U31" s="21" t="s">
        <v>161</v>
      </c>
      <c r="V31" s="21"/>
      <c r="W31" s="21"/>
      <c r="X31" s="20"/>
      <c r="Y31" s="21"/>
      <c r="Z31" s="21"/>
      <c r="AA31" s="21"/>
      <c r="AB31" s="21"/>
      <c r="AC31" s="21"/>
      <c r="AD31" s="21"/>
      <c r="AE31" s="21"/>
      <c r="AF31" s="21"/>
    </row>
    <row r="32" spans="1:32" ht="192" x14ac:dyDescent="0.25">
      <c r="A32" s="20" t="s">
        <v>148</v>
      </c>
      <c r="B32" s="20"/>
      <c r="C32" s="20"/>
      <c r="D32" s="21" t="s">
        <v>357</v>
      </c>
      <c r="E32" s="20" t="s">
        <v>358</v>
      </c>
      <c r="F32" s="22" t="s">
        <v>359</v>
      </c>
      <c r="G32" s="21" t="s">
        <v>360</v>
      </c>
      <c r="H32" s="21" t="s">
        <v>361</v>
      </c>
      <c r="I32" s="21" t="s">
        <v>362</v>
      </c>
      <c r="J32" s="21" t="s">
        <v>363</v>
      </c>
      <c r="K32" s="21" t="s">
        <v>364</v>
      </c>
      <c r="L32" s="21" t="s">
        <v>157</v>
      </c>
      <c r="M32" s="23"/>
      <c r="N32" s="20"/>
      <c r="O32" s="20"/>
      <c r="P32" s="20"/>
      <c r="Q32" s="20"/>
      <c r="R32" s="20">
        <f>Table1[[#This Row],[Consequence '[1..5']]]*Table1[[#This Row],[Likelihood '[1..5']]]*Table1[[#This Row],[Detectability '[1..5']]]</f>
        <v>0</v>
      </c>
      <c r="S32" s="21" t="s">
        <v>365</v>
      </c>
      <c r="T32" s="21" t="s">
        <v>366</v>
      </c>
      <c r="U32" s="21" t="s">
        <v>161</v>
      </c>
      <c r="V32" s="21"/>
      <c r="W32" s="21"/>
      <c r="X32" s="20"/>
      <c r="Y32" s="21"/>
      <c r="Z32" s="21"/>
      <c r="AA32" s="21"/>
      <c r="AB32" s="21"/>
      <c r="AC32" s="21"/>
      <c r="AD32" s="21"/>
      <c r="AE32" s="21"/>
      <c r="AF32" s="21"/>
    </row>
    <row r="33" spans="1:32" ht="192" x14ac:dyDescent="0.25">
      <c r="A33" s="20" t="s">
        <v>148</v>
      </c>
      <c r="B33" s="20"/>
      <c r="C33" s="20"/>
      <c r="D33" s="21" t="s">
        <v>357</v>
      </c>
      <c r="E33" s="20" t="s">
        <v>358</v>
      </c>
      <c r="F33" s="22" t="s">
        <v>359</v>
      </c>
      <c r="G33" s="21" t="s">
        <v>360</v>
      </c>
      <c r="H33" s="21" t="s">
        <v>367</v>
      </c>
      <c r="I33" s="21" t="s">
        <v>368</v>
      </c>
      <c r="J33" s="21" t="s">
        <v>369</v>
      </c>
      <c r="K33" s="21" t="s">
        <v>370</v>
      </c>
      <c r="L33" s="21" t="s">
        <v>157</v>
      </c>
      <c r="M33" s="23"/>
      <c r="N33" s="20"/>
      <c r="O33" s="20"/>
      <c r="P33" s="20"/>
      <c r="Q33" s="20"/>
      <c r="R33" s="20">
        <f>Table1[[#This Row],[Consequence '[1..5']]]*Table1[[#This Row],[Likelihood '[1..5']]]*Table1[[#This Row],[Detectability '[1..5']]]</f>
        <v>0</v>
      </c>
      <c r="S33" s="21" t="s">
        <v>365</v>
      </c>
      <c r="T33" s="21" t="s">
        <v>366</v>
      </c>
      <c r="U33" s="21" t="s">
        <v>161</v>
      </c>
      <c r="V33" s="21"/>
      <c r="W33" s="21"/>
      <c r="X33" s="20"/>
      <c r="Y33" s="21"/>
      <c r="Z33" s="21"/>
      <c r="AA33" s="21"/>
      <c r="AB33" s="21"/>
      <c r="AC33" s="21"/>
      <c r="AD33" s="21"/>
      <c r="AE33" s="21"/>
      <c r="AF33" s="21"/>
    </row>
    <row r="34" spans="1:32" ht="192" x14ac:dyDescent="0.25">
      <c r="A34" s="20" t="s">
        <v>148</v>
      </c>
      <c r="B34" s="20"/>
      <c r="C34" s="20"/>
      <c r="D34" s="21" t="s">
        <v>357</v>
      </c>
      <c r="E34" s="20" t="s">
        <v>358</v>
      </c>
      <c r="F34" s="22" t="s">
        <v>359</v>
      </c>
      <c r="G34" s="21" t="s">
        <v>360</v>
      </c>
      <c r="H34" s="21" t="s">
        <v>371</v>
      </c>
      <c r="I34" s="21" t="s">
        <v>372</v>
      </c>
      <c r="J34" s="21" t="s">
        <v>373</v>
      </c>
      <c r="K34" s="21" t="s">
        <v>374</v>
      </c>
      <c r="L34" s="21" t="s">
        <v>181</v>
      </c>
      <c r="M34" s="23"/>
      <c r="N34" s="20"/>
      <c r="O34" s="20"/>
      <c r="P34" s="20"/>
      <c r="Q34" s="20"/>
      <c r="R34" s="20">
        <f>Table1[[#This Row],[Consequence '[1..5']]]*Table1[[#This Row],[Likelihood '[1..5']]]*Table1[[#This Row],[Detectability '[1..5']]]</f>
        <v>0</v>
      </c>
      <c r="S34" s="21" t="s">
        <v>365</v>
      </c>
      <c r="T34" s="21" t="s">
        <v>366</v>
      </c>
      <c r="U34" s="21" t="s">
        <v>161</v>
      </c>
      <c r="V34" s="21"/>
      <c r="W34" s="21"/>
      <c r="X34" s="20"/>
      <c r="Y34" s="21"/>
      <c r="Z34" s="21"/>
      <c r="AA34" s="21"/>
      <c r="AB34" s="21"/>
      <c r="AC34" s="21"/>
      <c r="AD34" s="21"/>
      <c r="AE34" s="21"/>
      <c r="AF34" s="21"/>
    </row>
    <row r="35" spans="1:32" ht="156" x14ac:dyDescent="0.25">
      <c r="A35" s="20" t="s">
        <v>148</v>
      </c>
      <c r="B35" s="20"/>
      <c r="C35" s="20"/>
      <c r="D35" s="21" t="s">
        <v>375</v>
      </c>
      <c r="E35" s="20" t="s">
        <v>150</v>
      </c>
      <c r="F35" s="22" t="s">
        <v>376</v>
      </c>
      <c r="G35" s="21" t="s">
        <v>377</v>
      </c>
      <c r="H35" s="21" t="s">
        <v>378</v>
      </c>
      <c r="I35" s="21" t="s">
        <v>379</v>
      </c>
      <c r="J35" s="21" t="s">
        <v>380</v>
      </c>
      <c r="K35" s="21" t="s">
        <v>370</v>
      </c>
      <c r="L35" s="21" t="s">
        <v>157</v>
      </c>
      <c r="M35" s="23"/>
      <c r="N35" s="20"/>
      <c r="O35" s="20"/>
      <c r="P35" s="20"/>
      <c r="Q35" s="20"/>
      <c r="R35" s="20">
        <f>Table1[[#This Row],[Consequence '[1..5']]]*Table1[[#This Row],[Likelihood '[1..5']]]*Table1[[#This Row],[Detectability '[1..5']]]</f>
        <v>0</v>
      </c>
      <c r="S35" s="21" t="s">
        <v>381</v>
      </c>
      <c r="T35" s="21" t="s">
        <v>382</v>
      </c>
      <c r="U35" s="21" t="s">
        <v>161</v>
      </c>
      <c r="V35" s="21"/>
      <c r="W35" s="21"/>
      <c r="X35" s="20"/>
      <c r="Y35" s="21"/>
      <c r="Z35" s="21"/>
      <c r="AA35" s="21"/>
      <c r="AB35" s="21"/>
      <c r="AC35" s="21"/>
      <c r="AD35" s="21"/>
      <c r="AE35" s="21"/>
      <c r="AF35" s="21"/>
    </row>
    <row r="36" spans="1:32" ht="204" x14ac:dyDescent="0.25">
      <c r="A36" s="25" t="s">
        <v>148</v>
      </c>
      <c r="B36" s="25"/>
      <c r="C36" s="25"/>
      <c r="D36" s="21" t="s">
        <v>383</v>
      </c>
      <c r="E36" s="20" t="s">
        <v>150</v>
      </c>
      <c r="F36" s="22" t="s">
        <v>376</v>
      </c>
      <c r="G36" s="21" t="s">
        <v>377</v>
      </c>
      <c r="H36" s="21" t="s">
        <v>384</v>
      </c>
      <c r="I36" s="21" t="s">
        <v>385</v>
      </c>
      <c r="J36" s="21" t="s">
        <v>386</v>
      </c>
      <c r="K36" s="21" t="s">
        <v>387</v>
      </c>
      <c r="L36" s="21" t="s">
        <v>157</v>
      </c>
      <c r="M36" s="23"/>
      <c r="N36" s="20"/>
      <c r="O36" s="20"/>
      <c r="P36" s="20"/>
      <c r="Q36" s="20"/>
      <c r="R36" s="20">
        <f>Table1[[#This Row],[Consequence '[1..5']]]*Table1[[#This Row],[Likelihood '[1..5']]]*Table1[[#This Row],[Detectability '[1..5']]]</f>
        <v>0</v>
      </c>
      <c r="S36" s="21" t="s">
        <v>388</v>
      </c>
      <c r="T36" s="21" t="s">
        <v>389</v>
      </c>
      <c r="U36" s="21" t="s">
        <v>161</v>
      </c>
      <c r="V36" s="21"/>
      <c r="W36" s="21"/>
      <c r="X36" s="20"/>
      <c r="Y36" s="21"/>
      <c r="Z36" s="21"/>
      <c r="AA36" s="21"/>
      <c r="AB36" s="21"/>
      <c r="AC36" s="21"/>
      <c r="AD36" s="21"/>
      <c r="AE36" s="21"/>
      <c r="AF36" s="21"/>
    </row>
    <row r="37" spans="1:32" ht="180" x14ac:dyDescent="0.25">
      <c r="A37" s="25" t="s">
        <v>148</v>
      </c>
      <c r="B37" s="25"/>
      <c r="C37" s="25"/>
      <c r="D37" s="26" t="s">
        <v>390</v>
      </c>
      <c r="E37" s="25" t="s">
        <v>358</v>
      </c>
      <c r="F37" s="22" t="s">
        <v>391</v>
      </c>
      <c r="G37" s="21" t="s">
        <v>392</v>
      </c>
      <c r="H37" s="21" t="s">
        <v>393</v>
      </c>
      <c r="I37" s="21" t="s">
        <v>394</v>
      </c>
      <c r="J37" s="21" t="s">
        <v>395</v>
      </c>
      <c r="K37" s="21" t="s">
        <v>396</v>
      </c>
      <c r="L37" s="21" t="s">
        <v>157</v>
      </c>
      <c r="M37" s="23"/>
      <c r="N37" s="20" t="s">
        <v>158</v>
      </c>
      <c r="O37" s="20"/>
      <c r="P37" s="20"/>
      <c r="Q37" s="20"/>
      <c r="R37" s="20">
        <f>Table1[[#This Row],[Consequence '[1..5']]]*Table1[[#This Row],[Likelihood '[1..5']]]*Table1[[#This Row],[Detectability '[1..5']]]</f>
        <v>0</v>
      </c>
      <c r="S37" s="21" t="s">
        <v>397</v>
      </c>
      <c r="T37" s="21" t="s">
        <v>398</v>
      </c>
      <c r="U37" s="21" t="s">
        <v>161</v>
      </c>
      <c r="V37" s="21"/>
      <c r="W37" s="21"/>
      <c r="X37" s="20"/>
      <c r="Y37" s="21"/>
      <c r="Z37" s="21"/>
      <c r="AA37" s="21"/>
      <c r="AB37" s="21"/>
      <c r="AC37" s="21"/>
      <c r="AD37" s="21"/>
      <c r="AE37" s="21"/>
      <c r="AF37" s="21"/>
    </row>
    <row r="38" spans="1:32" ht="120" x14ac:dyDescent="0.25">
      <c r="A38" s="25" t="s">
        <v>148</v>
      </c>
      <c r="B38" s="25"/>
      <c r="C38" s="25"/>
      <c r="D38" s="26" t="s">
        <v>390</v>
      </c>
      <c r="E38" s="25" t="s">
        <v>358</v>
      </c>
      <c r="F38" s="22" t="s">
        <v>391</v>
      </c>
      <c r="G38" s="21" t="s">
        <v>392</v>
      </c>
      <c r="H38" s="21" t="s">
        <v>399</v>
      </c>
      <c r="I38" s="21" t="s">
        <v>400</v>
      </c>
      <c r="J38" s="21" t="s">
        <v>401</v>
      </c>
      <c r="K38" s="21" t="s">
        <v>402</v>
      </c>
      <c r="L38" s="21" t="s">
        <v>157</v>
      </c>
      <c r="M38" s="23"/>
      <c r="N38" s="20"/>
      <c r="O38" s="20"/>
      <c r="P38" s="20"/>
      <c r="Q38" s="20"/>
      <c r="R38" s="20">
        <f>Table1[[#This Row],[Consequence '[1..5']]]*Table1[[#This Row],[Likelihood '[1..5']]]*Table1[[#This Row],[Detectability '[1..5']]]</f>
        <v>0</v>
      </c>
      <c r="S38" s="21" t="s">
        <v>403</v>
      </c>
      <c r="T38" s="21" t="s">
        <v>404</v>
      </c>
      <c r="U38" s="21" t="s">
        <v>161</v>
      </c>
      <c r="V38" s="21"/>
      <c r="W38" s="21"/>
      <c r="X38" s="20"/>
      <c r="Y38" s="21"/>
      <c r="Z38" s="21"/>
      <c r="AA38" s="21"/>
      <c r="AB38" s="21"/>
      <c r="AC38" s="21"/>
      <c r="AD38" s="21"/>
      <c r="AE38" s="21"/>
      <c r="AF38" s="21"/>
    </row>
    <row r="39" spans="1:32" ht="156" x14ac:dyDescent="0.25">
      <c r="A39" s="20" t="s">
        <v>148</v>
      </c>
      <c r="B39" s="20"/>
      <c r="C39" s="20"/>
      <c r="D39" s="22" t="s">
        <v>405</v>
      </c>
      <c r="E39" s="20" t="s">
        <v>358</v>
      </c>
      <c r="F39" s="22" t="s">
        <v>406</v>
      </c>
      <c r="G39" s="21" t="s">
        <v>407</v>
      </c>
      <c r="H39" s="21" t="s">
        <v>408</v>
      </c>
      <c r="I39" s="21" t="s">
        <v>409</v>
      </c>
      <c r="J39" s="21" t="s">
        <v>410</v>
      </c>
      <c r="K39" s="21" t="s">
        <v>411</v>
      </c>
      <c r="L39" s="21" t="s">
        <v>157</v>
      </c>
      <c r="M39" s="23"/>
      <c r="N39" s="20"/>
      <c r="O39" s="20"/>
      <c r="P39" s="20"/>
      <c r="Q39" s="20"/>
      <c r="R39" s="20">
        <f>Table1[[#This Row],[Consequence '[1..5']]]*Table1[[#This Row],[Likelihood '[1..5']]]*Table1[[#This Row],[Detectability '[1..5']]]</f>
        <v>0</v>
      </c>
      <c r="S39" s="21" t="s">
        <v>412</v>
      </c>
      <c r="T39" s="21" t="s">
        <v>413</v>
      </c>
      <c r="U39" s="21" t="s">
        <v>161</v>
      </c>
      <c r="V39" s="21"/>
      <c r="W39" s="21"/>
      <c r="X39" s="20"/>
      <c r="Y39" s="21"/>
      <c r="Z39" s="21"/>
      <c r="AA39" s="21"/>
      <c r="AB39" s="21"/>
      <c r="AC39" s="21"/>
      <c r="AD39" s="21"/>
      <c r="AE39" s="21"/>
      <c r="AF39" s="21"/>
    </row>
  </sheetData>
  <conditionalFormatting sqref="D2:AF39">
    <cfRule type="expression" dxfId="0" priority="1">
      <formula>$E1&lt;&gt;$E2</formula>
    </cfRule>
  </conditionalFormatting>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0A9F5-B83B-4F26-BF22-331768995488}">
  <dimension ref="A1:D450"/>
  <sheetViews>
    <sheetView workbookViewId="0">
      <selection activeCell="O12" sqref="O12"/>
    </sheetView>
  </sheetViews>
  <sheetFormatPr defaultRowHeight="15" x14ac:dyDescent="0.25"/>
  <cols>
    <col min="3" max="3" width="26.7109375" customWidth="1"/>
  </cols>
  <sheetData>
    <row r="1" spans="1:4" ht="33.75" x14ac:dyDescent="0.25">
      <c r="A1" s="27" t="s">
        <v>890</v>
      </c>
      <c r="B1" s="27" t="s">
        <v>934</v>
      </c>
      <c r="C1" s="27" t="s">
        <v>891</v>
      </c>
      <c r="D1" s="27" t="s">
        <v>892</v>
      </c>
    </row>
    <row r="2" spans="1:4" x14ac:dyDescent="0.25">
      <c r="A2" s="28" t="s">
        <v>414</v>
      </c>
      <c r="B2" s="28"/>
      <c r="C2" s="28" t="s">
        <v>416</v>
      </c>
      <c r="D2" s="28"/>
    </row>
    <row r="3" spans="1:4" x14ac:dyDescent="0.25">
      <c r="A3" s="28" t="s">
        <v>414</v>
      </c>
      <c r="B3" s="28"/>
      <c r="C3" s="28" t="s">
        <v>418</v>
      </c>
      <c r="D3" s="28"/>
    </row>
    <row r="4" spans="1:4" x14ac:dyDescent="0.25">
      <c r="A4" s="28" t="s">
        <v>419</v>
      </c>
      <c r="B4" s="28"/>
      <c r="C4" s="28" t="s">
        <v>418</v>
      </c>
      <c r="D4" s="28"/>
    </row>
    <row r="5" spans="1:4" x14ac:dyDescent="0.25">
      <c r="A5" s="28" t="s">
        <v>419</v>
      </c>
      <c r="B5" s="28"/>
      <c r="C5" s="28" t="s">
        <v>416</v>
      </c>
      <c r="D5" s="28"/>
    </row>
    <row r="6" spans="1:4" x14ac:dyDescent="0.25">
      <c r="A6" s="28" t="s">
        <v>420</v>
      </c>
      <c r="B6" s="28"/>
      <c r="C6" s="28" t="s">
        <v>421</v>
      </c>
      <c r="D6" s="28"/>
    </row>
    <row r="7" spans="1:4" x14ac:dyDescent="0.25">
      <c r="A7" s="28" t="s">
        <v>420</v>
      </c>
      <c r="B7" s="28"/>
      <c r="C7" s="28" t="s">
        <v>421</v>
      </c>
      <c r="D7" s="28"/>
    </row>
    <row r="8" spans="1:4" x14ac:dyDescent="0.25">
      <c r="A8" s="28" t="s">
        <v>422</v>
      </c>
      <c r="B8" s="28"/>
      <c r="C8" s="28" t="s">
        <v>423</v>
      </c>
      <c r="D8" s="28"/>
    </row>
    <row r="9" spans="1:4" x14ac:dyDescent="0.25">
      <c r="A9" s="28" t="s">
        <v>424</v>
      </c>
      <c r="B9" s="28"/>
      <c r="C9" s="28" t="s">
        <v>425</v>
      </c>
      <c r="D9" s="28"/>
    </row>
    <row r="10" spans="1:4" x14ac:dyDescent="0.25">
      <c r="A10" s="28" t="s">
        <v>426</v>
      </c>
      <c r="B10" s="28"/>
      <c r="C10" s="28" t="s">
        <v>421</v>
      </c>
      <c r="D10" s="28"/>
    </row>
    <row r="11" spans="1:4" x14ac:dyDescent="0.25">
      <c r="A11" s="28" t="s">
        <v>426</v>
      </c>
      <c r="B11" s="28"/>
      <c r="C11" s="28" t="s">
        <v>421</v>
      </c>
      <c r="D11" s="28"/>
    </row>
    <row r="12" spans="1:4" x14ac:dyDescent="0.25">
      <c r="A12" s="28" t="s">
        <v>427</v>
      </c>
      <c r="B12" s="28"/>
      <c r="C12" s="28" t="s">
        <v>416</v>
      </c>
      <c r="D12" s="28"/>
    </row>
    <row r="13" spans="1:4" x14ac:dyDescent="0.25">
      <c r="A13" s="28" t="s">
        <v>428</v>
      </c>
      <c r="B13" s="28"/>
      <c r="C13" s="28" t="s">
        <v>429</v>
      </c>
      <c r="D13" s="28"/>
    </row>
    <row r="14" spans="1:4" x14ac:dyDescent="0.25">
      <c r="A14" s="28" t="s">
        <v>428</v>
      </c>
      <c r="B14" s="28"/>
      <c r="C14" s="28" t="s">
        <v>430</v>
      </c>
      <c r="D14" s="28"/>
    </row>
    <row r="15" spans="1:4" x14ac:dyDescent="0.25">
      <c r="A15" s="28" t="s">
        <v>431</v>
      </c>
      <c r="B15" s="28"/>
      <c r="C15" s="28" t="s">
        <v>421</v>
      </c>
      <c r="D15" s="28"/>
    </row>
    <row r="16" spans="1:4" x14ac:dyDescent="0.25">
      <c r="A16" s="28" t="s">
        <v>431</v>
      </c>
      <c r="B16" s="28"/>
      <c r="C16" s="28" t="s">
        <v>432</v>
      </c>
      <c r="D16" s="28"/>
    </row>
    <row r="17" spans="1:4" x14ac:dyDescent="0.25">
      <c r="A17" s="28" t="s">
        <v>431</v>
      </c>
      <c r="B17" s="28"/>
      <c r="C17" s="28" t="s">
        <v>421</v>
      </c>
      <c r="D17" s="28"/>
    </row>
    <row r="18" spans="1:4" x14ac:dyDescent="0.25">
      <c r="A18" s="28" t="s">
        <v>434</v>
      </c>
      <c r="B18" s="28"/>
      <c r="C18" s="28" t="s">
        <v>435</v>
      </c>
      <c r="D18" s="28"/>
    </row>
    <row r="19" spans="1:4" x14ac:dyDescent="0.25">
      <c r="A19" s="28" t="s">
        <v>436</v>
      </c>
      <c r="B19" s="28"/>
      <c r="C19" s="28" t="s">
        <v>423</v>
      </c>
      <c r="D19" s="28"/>
    </row>
    <row r="20" spans="1:4" x14ac:dyDescent="0.25">
      <c r="A20" s="28" t="s">
        <v>437</v>
      </c>
      <c r="B20" s="28"/>
      <c r="C20" s="28" t="s">
        <v>421</v>
      </c>
      <c r="D20" s="28"/>
    </row>
    <row r="21" spans="1:4" x14ac:dyDescent="0.25">
      <c r="A21" s="28" t="s">
        <v>437</v>
      </c>
      <c r="B21" s="28"/>
      <c r="C21" s="28" t="s">
        <v>421</v>
      </c>
      <c r="D21" s="28"/>
    </row>
    <row r="22" spans="1:4" x14ac:dyDescent="0.25">
      <c r="A22" s="28" t="s">
        <v>438</v>
      </c>
      <c r="B22" s="28"/>
      <c r="C22" s="28" t="s">
        <v>421</v>
      </c>
      <c r="D22" s="28"/>
    </row>
    <row r="23" spans="1:4" x14ac:dyDescent="0.25">
      <c r="A23" s="28" t="s">
        <v>438</v>
      </c>
      <c r="B23" s="28"/>
      <c r="C23" s="28" t="s">
        <v>421</v>
      </c>
      <c r="D23" s="28"/>
    </row>
    <row r="24" spans="1:4" x14ac:dyDescent="0.25">
      <c r="A24" s="28" t="s">
        <v>439</v>
      </c>
      <c r="B24" s="28"/>
      <c r="C24" s="28" t="s">
        <v>421</v>
      </c>
      <c r="D24" s="28"/>
    </row>
    <row r="25" spans="1:4" x14ac:dyDescent="0.25">
      <c r="A25" s="28" t="s">
        <v>439</v>
      </c>
      <c r="B25" s="28"/>
      <c r="C25" s="28" t="s">
        <v>421</v>
      </c>
      <c r="D25" s="28"/>
    </row>
    <row r="26" spans="1:4" x14ac:dyDescent="0.25">
      <c r="A26" s="28" t="s">
        <v>440</v>
      </c>
      <c r="B26" s="28"/>
      <c r="C26" s="28" t="s">
        <v>421</v>
      </c>
      <c r="D26" s="28"/>
    </row>
    <row r="27" spans="1:4" x14ac:dyDescent="0.25">
      <c r="A27" s="28" t="s">
        <v>440</v>
      </c>
      <c r="B27" s="28"/>
      <c r="C27" s="28" t="s">
        <v>421</v>
      </c>
      <c r="D27" s="28"/>
    </row>
    <row r="28" spans="1:4" x14ac:dyDescent="0.25">
      <c r="A28" s="28" t="s">
        <v>441</v>
      </c>
      <c r="B28" s="28"/>
      <c r="C28" s="28" t="s">
        <v>421</v>
      </c>
      <c r="D28" s="28"/>
    </row>
    <row r="29" spans="1:4" x14ac:dyDescent="0.25">
      <c r="A29" s="28" t="s">
        <v>441</v>
      </c>
      <c r="B29" s="28"/>
      <c r="C29" s="28" t="s">
        <v>421</v>
      </c>
      <c r="D29" s="28"/>
    </row>
    <row r="30" spans="1:4" x14ac:dyDescent="0.25">
      <c r="A30" s="28" t="s">
        <v>442</v>
      </c>
      <c r="B30" s="28"/>
      <c r="C30" s="28" t="s">
        <v>443</v>
      </c>
      <c r="D30" s="28"/>
    </row>
    <row r="31" spans="1:4" x14ac:dyDescent="0.25">
      <c r="A31" s="28" t="s">
        <v>444</v>
      </c>
      <c r="B31" s="28"/>
      <c r="C31" s="28" t="s">
        <v>445</v>
      </c>
      <c r="D31" s="28"/>
    </row>
    <row r="32" spans="1:4" x14ac:dyDescent="0.25">
      <c r="A32" s="28" t="s">
        <v>446</v>
      </c>
      <c r="B32" s="28"/>
      <c r="C32" s="28" t="s">
        <v>447</v>
      </c>
      <c r="D32" s="28"/>
    </row>
    <row r="33" spans="1:4" x14ac:dyDescent="0.25">
      <c r="A33" s="28" t="s">
        <v>446</v>
      </c>
      <c r="B33" s="28"/>
      <c r="C33" s="28" t="s">
        <v>448</v>
      </c>
      <c r="D33" s="28"/>
    </row>
    <row r="34" spans="1:4" x14ac:dyDescent="0.25">
      <c r="A34" s="28" t="s">
        <v>449</v>
      </c>
      <c r="B34" s="28"/>
      <c r="C34" s="28" t="s">
        <v>450</v>
      </c>
      <c r="D34" s="28"/>
    </row>
    <row r="35" spans="1:4" x14ac:dyDescent="0.25">
      <c r="A35" s="28" t="s">
        <v>449</v>
      </c>
      <c r="B35" s="28"/>
      <c r="C35" s="28" t="s">
        <v>451</v>
      </c>
      <c r="D35" s="28"/>
    </row>
    <row r="36" spans="1:4" x14ac:dyDescent="0.25">
      <c r="A36" s="28" t="s">
        <v>452</v>
      </c>
      <c r="B36" s="28"/>
      <c r="C36" s="28" t="s">
        <v>453</v>
      </c>
      <c r="D36" s="28"/>
    </row>
    <row r="37" spans="1:4" x14ac:dyDescent="0.25">
      <c r="A37" s="28" t="s">
        <v>454</v>
      </c>
      <c r="B37" s="28"/>
      <c r="C37" s="28" t="s">
        <v>453</v>
      </c>
      <c r="D37" s="28"/>
    </row>
    <row r="38" spans="1:4" x14ac:dyDescent="0.25">
      <c r="A38" s="28" t="s">
        <v>455</v>
      </c>
      <c r="B38" s="28"/>
      <c r="C38" s="28" t="s">
        <v>453</v>
      </c>
      <c r="D38" s="28"/>
    </row>
    <row r="39" spans="1:4" x14ac:dyDescent="0.25">
      <c r="A39" s="28" t="s">
        <v>456</v>
      </c>
      <c r="B39" s="28"/>
      <c r="C39" s="28" t="s">
        <v>453</v>
      </c>
      <c r="D39" s="28"/>
    </row>
    <row r="40" spans="1:4" x14ac:dyDescent="0.25">
      <c r="A40" s="28" t="s">
        <v>457</v>
      </c>
      <c r="B40" s="28"/>
      <c r="C40" s="28" t="s">
        <v>453</v>
      </c>
      <c r="D40" s="28"/>
    </row>
    <row r="41" spans="1:4" x14ac:dyDescent="0.25">
      <c r="A41" s="28" t="s">
        <v>458</v>
      </c>
      <c r="B41" s="28"/>
      <c r="C41" s="28" t="s">
        <v>453</v>
      </c>
      <c r="D41" s="28"/>
    </row>
    <row r="42" spans="1:4" x14ac:dyDescent="0.25">
      <c r="A42" s="28" t="s">
        <v>459</v>
      </c>
      <c r="B42" s="28"/>
      <c r="C42" s="28" t="s">
        <v>453</v>
      </c>
      <c r="D42" s="28"/>
    </row>
    <row r="43" spans="1:4" x14ac:dyDescent="0.25">
      <c r="A43" s="28" t="s">
        <v>460</v>
      </c>
      <c r="B43" s="28"/>
      <c r="C43" s="28" t="s">
        <v>453</v>
      </c>
      <c r="D43" s="28"/>
    </row>
    <row r="44" spans="1:4" x14ac:dyDescent="0.25">
      <c r="A44" s="28" t="s">
        <v>461</v>
      </c>
      <c r="B44" s="28"/>
      <c r="C44" s="28" t="s">
        <v>453</v>
      </c>
      <c r="D44" s="28"/>
    </row>
    <row r="45" spans="1:4" x14ac:dyDescent="0.25">
      <c r="A45" s="28" t="s">
        <v>462</v>
      </c>
      <c r="B45" s="28"/>
      <c r="C45" s="28" t="s">
        <v>453</v>
      </c>
      <c r="D45" s="28"/>
    </row>
    <row r="46" spans="1:4" x14ac:dyDescent="0.25">
      <c r="A46" s="28" t="s">
        <v>463</v>
      </c>
      <c r="B46" s="28"/>
      <c r="C46" s="28" t="s">
        <v>453</v>
      </c>
      <c r="D46" s="28"/>
    </row>
    <row r="47" spans="1:4" x14ac:dyDescent="0.25">
      <c r="A47" s="28" t="s">
        <v>464</v>
      </c>
      <c r="B47" s="28"/>
      <c r="C47" s="28" t="s">
        <v>453</v>
      </c>
      <c r="D47" s="28"/>
    </row>
    <row r="48" spans="1:4" x14ac:dyDescent="0.25">
      <c r="A48" s="28" t="s">
        <v>465</v>
      </c>
      <c r="B48" s="28"/>
      <c r="C48" s="28" t="s">
        <v>453</v>
      </c>
      <c r="D48" s="28"/>
    </row>
    <row r="49" spans="1:4" x14ac:dyDescent="0.25">
      <c r="A49" s="28" t="s">
        <v>466</v>
      </c>
      <c r="B49" s="28"/>
      <c r="C49" s="28" t="s">
        <v>453</v>
      </c>
      <c r="D49" s="28"/>
    </row>
    <row r="50" spans="1:4" x14ac:dyDescent="0.25">
      <c r="A50" s="28" t="s">
        <v>467</v>
      </c>
      <c r="B50" s="28"/>
      <c r="C50" s="28" t="s">
        <v>453</v>
      </c>
      <c r="D50" s="28"/>
    </row>
    <row r="51" spans="1:4" x14ac:dyDescent="0.25">
      <c r="A51" s="28" t="s">
        <v>468</v>
      </c>
      <c r="B51" s="28"/>
      <c r="C51" s="28" t="s">
        <v>453</v>
      </c>
      <c r="D51" s="28"/>
    </row>
    <row r="52" spans="1:4" x14ac:dyDescent="0.25">
      <c r="A52" s="28" t="s">
        <v>469</v>
      </c>
      <c r="B52" s="28"/>
      <c r="C52" s="28" t="s">
        <v>453</v>
      </c>
      <c r="D52" s="28"/>
    </row>
    <row r="53" spans="1:4" x14ac:dyDescent="0.25">
      <c r="A53" s="28" t="s">
        <v>470</v>
      </c>
      <c r="B53" s="28"/>
      <c r="C53" s="28" t="s">
        <v>453</v>
      </c>
      <c r="D53" s="28"/>
    </row>
    <row r="54" spans="1:4" x14ac:dyDescent="0.25">
      <c r="A54" s="28" t="s">
        <v>471</v>
      </c>
      <c r="B54" s="28"/>
      <c r="C54" s="28" t="s">
        <v>453</v>
      </c>
      <c r="D54" s="28"/>
    </row>
    <row r="55" spans="1:4" x14ac:dyDescent="0.25">
      <c r="A55" s="28" t="s">
        <v>472</v>
      </c>
      <c r="B55" s="28"/>
      <c r="C55" s="28" t="s">
        <v>453</v>
      </c>
      <c r="D55" s="28"/>
    </row>
    <row r="56" spans="1:4" x14ac:dyDescent="0.25">
      <c r="A56" s="28" t="s">
        <v>473</v>
      </c>
      <c r="B56" s="28"/>
      <c r="C56" s="28" t="s">
        <v>453</v>
      </c>
      <c r="D56" s="28"/>
    </row>
    <row r="57" spans="1:4" x14ac:dyDescent="0.25">
      <c r="A57" s="28" t="s">
        <v>474</v>
      </c>
      <c r="B57" s="28"/>
      <c r="C57" s="28" t="s">
        <v>453</v>
      </c>
      <c r="D57" s="28"/>
    </row>
    <row r="58" spans="1:4" x14ac:dyDescent="0.25">
      <c r="A58" s="28" t="s">
        <v>475</v>
      </c>
      <c r="B58" s="28"/>
      <c r="C58" s="28" t="s">
        <v>453</v>
      </c>
      <c r="D58" s="28"/>
    </row>
    <row r="59" spans="1:4" x14ac:dyDescent="0.25">
      <c r="A59" s="28" t="s">
        <v>476</v>
      </c>
      <c r="B59" s="28"/>
      <c r="C59" s="28" t="s">
        <v>453</v>
      </c>
      <c r="D59" s="28"/>
    </row>
    <row r="60" spans="1:4" x14ac:dyDescent="0.25">
      <c r="A60" s="28" t="s">
        <v>477</v>
      </c>
      <c r="B60" s="28"/>
      <c r="C60" s="28" t="s">
        <v>453</v>
      </c>
      <c r="D60" s="28"/>
    </row>
    <row r="61" spans="1:4" x14ac:dyDescent="0.25">
      <c r="A61" s="28" t="s">
        <v>478</v>
      </c>
      <c r="B61" s="28"/>
      <c r="C61" s="28" t="s">
        <v>453</v>
      </c>
      <c r="D61" s="28"/>
    </row>
    <row r="62" spans="1:4" x14ac:dyDescent="0.25">
      <c r="A62" s="28" t="s">
        <v>479</v>
      </c>
      <c r="B62" s="28"/>
      <c r="C62" s="28" t="s">
        <v>453</v>
      </c>
      <c r="D62" s="28"/>
    </row>
    <row r="63" spans="1:4" x14ac:dyDescent="0.25">
      <c r="A63" s="28" t="s">
        <v>480</v>
      </c>
      <c r="B63" s="28"/>
      <c r="C63" s="28" t="s">
        <v>453</v>
      </c>
      <c r="D63" s="28"/>
    </row>
    <row r="64" spans="1:4" x14ac:dyDescent="0.25">
      <c r="A64" s="28" t="s">
        <v>481</v>
      </c>
      <c r="B64" s="28"/>
      <c r="C64" s="28" t="s">
        <v>453</v>
      </c>
      <c r="D64" s="28"/>
    </row>
    <row r="65" spans="1:4" x14ac:dyDescent="0.25">
      <c r="A65" s="28" t="s">
        <v>482</v>
      </c>
      <c r="B65" s="28"/>
      <c r="C65" s="28" t="s">
        <v>453</v>
      </c>
      <c r="D65" s="28"/>
    </row>
    <row r="66" spans="1:4" x14ac:dyDescent="0.25">
      <c r="A66" s="28" t="s">
        <v>483</v>
      </c>
      <c r="B66" s="28"/>
      <c r="C66" s="28" t="s">
        <v>453</v>
      </c>
      <c r="D66" s="28"/>
    </row>
    <row r="67" spans="1:4" x14ac:dyDescent="0.25">
      <c r="A67" s="28" t="s">
        <v>484</v>
      </c>
      <c r="B67" s="28"/>
      <c r="C67" s="28" t="s">
        <v>453</v>
      </c>
      <c r="D67" s="28"/>
    </row>
    <row r="68" spans="1:4" x14ac:dyDescent="0.25">
      <c r="A68" s="28" t="s">
        <v>485</v>
      </c>
      <c r="B68" s="28"/>
      <c r="C68" s="28" t="s">
        <v>453</v>
      </c>
      <c r="D68" s="28"/>
    </row>
    <row r="69" spans="1:4" x14ac:dyDescent="0.25">
      <c r="A69" s="28" t="s">
        <v>486</v>
      </c>
      <c r="B69" s="28"/>
      <c r="C69" s="28" t="s">
        <v>453</v>
      </c>
      <c r="D69" s="28"/>
    </row>
    <row r="70" spans="1:4" x14ac:dyDescent="0.25">
      <c r="A70" s="28" t="s">
        <v>487</v>
      </c>
      <c r="B70" s="28"/>
      <c r="C70" s="28" t="s">
        <v>488</v>
      </c>
      <c r="D70" s="28"/>
    </row>
    <row r="71" spans="1:4" x14ac:dyDescent="0.25">
      <c r="A71" s="28" t="s">
        <v>489</v>
      </c>
      <c r="B71" s="28"/>
      <c r="C71" s="28" t="s">
        <v>488</v>
      </c>
      <c r="D71" s="28"/>
    </row>
    <row r="72" spans="1:4" x14ac:dyDescent="0.25">
      <c r="A72" s="28" t="s">
        <v>490</v>
      </c>
      <c r="B72" s="28"/>
      <c r="C72" s="28" t="s">
        <v>488</v>
      </c>
      <c r="D72" s="28"/>
    </row>
    <row r="73" spans="1:4" x14ac:dyDescent="0.25">
      <c r="A73" s="28" t="s">
        <v>491</v>
      </c>
      <c r="B73" s="28"/>
      <c r="C73" s="28" t="s">
        <v>488</v>
      </c>
      <c r="D73" s="28"/>
    </row>
    <row r="74" spans="1:4" x14ac:dyDescent="0.25">
      <c r="A74" s="28" t="s">
        <v>492</v>
      </c>
      <c r="B74" s="28"/>
      <c r="C74" s="28" t="s">
        <v>488</v>
      </c>
      <c r="D74" s="28"/>
    </row>
    <row r="75" spans="1:4" x14ac:dyDescent="0.25">
      <c r="A75" s="28" t="s">
        <v>493</v>
      </c>
      <c r="B75" s="28"/>
      <c r="C75" s="28" t="s">
        <v>488</v>
      </c>
      <c r="D75" s="28"/>
    </row>
    <row r="76" spans="1:4" x14ac:dyDescent="0.25">
      <c r="A76" s="28" t="s">
        <v>494</v>
      </c>
      <c r="B76" s="28"/>
      <c r="C76" s="28" t="s">
        <v>488</v>
      </c>
      <c r="D76" s="28"/>
    </row>
    <row r="77" spans="1:4" x14ac:dyDescent="0.25">
      <c r="A77" s="28" t="s">
        <v>495</v>
      </c>
      <c r="B77" s="28"/>
      <c r="C77" s="28" t="s">
        <v>488</v>
      </c>
      <c r="D77" s="28"/>
    </row>
    <row r="78" spans="1:4" x14ac:dyDescent="0.25">
      <c r="A78" s="28" t="s">
        <v>496</v>
      </c>
      <c r="B78" s="28"/>
      <c r="C78" s="28" t="s">
        <v>488</v>
      </c>
      <c r="D78" s="28"/>
    </row>
    <row r="79" spans="1:4" x14ac:dyDescent="0.25">
      <c r="A79" s="28" t="s">
        <v>497</v>
      </c>
      <c r="B79" s="28"/>
      <c r="C79" s="28" t="s">
        <v>488</v>
      </c>
      <c r="D79" s="28"/>
    </row>
    <row r="80" spans="1:4" x14ac:dyDescent="0.25">
      <c r="A80" s="28" t="s">
        <v>498</v>
      </c>
      <c r="B80" s="28"/>
      <c r="C80" s="28" t="s">
        <v>488</v>
      </c>
      <c r="D80" s="28"/>
    </row>
    <row r="81" spans="1:4" x14ac:dyDescent="0.25">
      <c r="A81" s="28" t="s">
        <v>499</v>
      </c>
      <c r="B81" s="28"/>
      <c r="C81" s="28" t="s">
        <v>488</v>
      </c>
      <c r="D81" s="28"/>
    </row>
    <row r="82" spans="1:4" x14ac:dyDescent="0.25">
      <c r="A82" s="28" t="s">
        <v>500</v>
      </c>
      <c r="B82" s="28"/>
      <c r="C82" s="28" t="s">
        <v>488</v>
      </c>
      <c r="D82" s="28"/>
    </row>
    <row r="83" spans="1:4" x14ac:dyDescent="0.25">
      <c r="A83" s="28" t="s">
        <v>501</v>
      </c>
      <c r="B83" s="28"/>
      <c r="C83" s="28" t="s">
        <v>488</v>
      </c>
      <c r="D83" s="28"/>
    </row>
    <row r="84" spans="1:4" x14ac:dyDescent="0.25">
      <c r="A84" s="28" t="s">
        <v>502</v>
      </c>
      <c r="B84" s="28"/>
      <c r="C84" s="28" t="s">
        <v>488</v>
      </c>
      <c r="D84" s="28"/>
    </row>
    <row r="85" spans="1:4" x14ac:dyDescent="0.25">
      <c r="A85" s="28" t="s">
        <v>503</v>
      </c>
      <c r="B85" s="28"/>
      <c r="C85" s="28" t="s">
        <v>488</v>
      </c>
      <c r="D85" s="28"/>
    </row>
    <row r="86" spans="1:4" x14ac:dyDescent="0.25">
      <c r="A86" s="28" t="s">
        <v>504</v>
      </c>
      <c r="B86" s="28"/>
      <c r="C86" s="28" t="s">
        <v>488</v>
      </c>
      <c r="D86" s="28"/>
    </row>
    <row r="87" spans="1:4" x14ac:dyDescent="0.25">
      <c r="A87" s="28" t="s">
        <v>505</v>
      </c>
      <c r="B87" s="28"/>
      <c r="C87" s="28" t="s">
        <v>488</v>
      </c>
      <c r="D87" s="28"/>
    </row>
    <row r="88" spans="1:4" x14ac:dyDescent="0.25">
      <c r="A88" s="28" t="s">
        <v>506</v>
      </c>
      <c r="B88" s="28"/>
      <c r="C88" s="28" t="s">
        <v>488</v>
      </c>
      <c r="D88" s="28"/>
    </row>
    <row r="89" spans="1:4" x14ac:dyDescent="0.25">
      <c r="A89" s="28" t="s">
        <v>507</v>
      </c>
      <c r="B89" s="28"/>
      <c r="C89" s="28" t="s">
        <v>488</v>
      </c>
      <c r="D89" s="28"/>
    </row>
    <row r="90" spans="1:4" x14ac:dyDescent="0.25">
      <c r="A90" s="28" t="s">
        <v>508</v>
      </c>
      <c r="B90" s="28"/>
      <c r="C90" s="28" t="s">
        <v>488</v>
      </c>
      <c r="D90" s="28"/>
    </row>
    <row r="91" spans="1:4" x14ac:dyDescent="0.25">
      <c r="A91" s="28" t="s">
        <v>509</v>
      </c>
      <c r="B91" s="28"/>
      <c r="C91" s="28" t="s">
        <v>488</v>
      </c>
      <c r="D91" s="28"/>
    </row>
    <row r="92" spans="1:4" x14ac:dyDescent="0.25">
      <c r="A92" s="28" t="s">
        <v>510</v>
      </c>
      <c r="B92" s="28"/>
      <c r="C92" s="28" t="s">
        <v>488</v>
      </c>
      <c r="D92" s="28"/>
    </row>
    <row r="93" spans="1:4" x14ac:dyDescent="0.25">
      <c r="A93" s="28" t="s">
        <v>511</v>
      </c>
      <c r="B93" s="28"/>
      <c r="C93" s="28" t="s">
        <v>488</v>
      </c>
      <c r="D93" s="28"/>
    </row>
    <row r="94" spans="1:4" x14ac:dyDescent="0.25">
      <c r="A94" s="28" t="s">
        <v>512</v>
      </c>
      <c r="B94" s="28"/>
      <c r="C94" s="28" t="s">
        <v>488</v>
      </c>
      <c r="D94" s="28"/>
    </row>
    <row r="95" spans="1:4" x14ac:dyDescent="0.25">
      <c r="A95" s="28" t="s">
        <v>513</v>
      </c>
      <c r="B95" s="28"/>
      <c r="C95" s="28" t="s">
        <v>488</v>
      </c>
      <c r="D95" s="28"/>
    </row>
    <row r="96" spans="1:4" x14ac:dyDescent="0.25">
      <c r="A96" s="28" t="s">
        <v>514</v>
      </c>
      <c r="B96" s="28"/>
      <c r="C96" s="28" t="s">
        <v>488</v>
      </c>
      <c r="D96" s="28"/>
    </row>
    <row r="97" spans="1:4" x14ac:dyDescent="0.25">
      <c r="A97" s="28" t="s">
        <v>515</v>
      </c>
      <c r="B97" s="28"/>
      <c r="C97" s="28" t="s">
        <v>488</v>
      </c>
      <c r="D97" s="28"/>
    </row>
    <row r="98" spans="1:4" x14ac:dyDescent="0.25">
      <c r="A98" s="28" t="s">
        <v>516</v>
      </c>
      <c r="B98" s="28"/>
      <c r="C98" s="28" t="s">
        <v>488</v>
      </c>
      <c r="D98" s="28"/>
    </row>
    <row r="99" spans="1:4" x14ac:dyDescent="0.25">
      <c r="A99" s="28" t="s">
        <v>517</v>
      </c>
      <c r="B99" s="28"/>
      <c r="C99" s="28" t="s">
        <v>488</v>
      </c>
      <c r="D99" s="28"/>
    </row>
    <row r="100" spans="1:4" x14ac:dyDescent="0.25">
      <c r="A100" s="28" t="s">
        <v>518</v>
      </c>
      <c r="B100" s="28"/>
      <c r="C100" s="28" t="s">
        <v>488</v>
      </c>
      <c r="D100" s="28"/>
    </row>
    <row r="101" spans="1:4" x14ac:dyDescent="0.25">
      <c r="A101" s="28" t="s">
        <v>519</v>
      </c>
      <c r="B101" s="28"/>
      <c r="C101" s="28" t="s">
        <v>488</v>
      </c>
      <c r="D101" s="28"/>
    </row>
    <row r="102" spans="1:4" x14ac:dyDescent="0.25">
      <c r="A102" s="28" t="s">
        <v>520</v>
      </c>
      <c r="B102" s="28"/>
      <c r="C102" s="28" t="s">
        <v>488</v>
      </c>
      <c r="D102" s="28"/>
    </row>
    <row r="103" spans="1:4" x14ac:dyDescent="0.25">
      <c r="A103" s="28" t="s">
        <v>521</v>
      </c>
      <c r="B103" s="28"/>
      <c r="C103" s="28" t="s">
        <v>488</v>
      </c>
      <c r="D103" s="28"/>
    </row>
    <row r="104" spans="1:4" x14ac:dyDescent="0.25">
      <c r="A104" s="28" t="s">
        <v>522</v>
      </c>
      <c r="B104" s="28"/>
      <c r="C104" s="28" t="s">
        <v>488</v>
      </c>
      <c r="D104" s="28"/>
    </row>
    <row r="105" spans="1:4" x14ac:dyDescent="0.25">
      <c r="A105" s="28" t="s">
        <v>523</v>
      </c>
      <c r="B105" s="28"/>
      <c r="C105" s="28" t="s">
        <v>488</v>
      </c>
      <c r="D105" s="28"/>
    </row>
    <row r="106" spans="1:4" x14ac:dyDescent="0.25">
      <c r="A106" s="28" t="s">
        <v>524</v>
      </c>
      <c r="B106" s="28"/>
      <c r="C106" s="28" t="s">
        <v>488</v>
      </c>
      <c r="D106" s="28"/>
    </row>
    <row r="107" spans="1:4" x14ac:dyDescent="0.25">
      <c r="A107" s="28" t="s">
        <v>525</v>
      </c>
      <c r="B107" s="28"/>
      <c r="C107" s="28" t="s">
        <v>488</v>
      </c>
      <c r="D107" s="28"/>
    </row>
    <row r="108" spans="1:4" x14ac:dyDescent="0.25">
      <c r="A108" s="28" t="s">
        <v>526</v>
      </c>
      <c r="B108" s="28"/>
      <c r="C108" s="28" t="s">
        <v>488</v>
      </c>
      <c r="D108" s="28"/>
    </row>
    <row r="109" spans="1:4" x14ac:dyDescent="0.25">
      <c r="A109" s="28" t="s">
        <v>527</v>
      </c>
      <c r="B109" s="28"/>
      <c r="C109" s="28" t="s">
        <v>488</v>
      </c>
      <c r="D109" s="28"/>
    </row>
    <row r="110" spans="1:4" x14ac:dyDescent="0.25">
      <c r="A110" s="28" t="s">
        <v>528</v>
      </c>
      <c r="B110" s="28"/>
      <c r="C110" s="28" t="s">
        <v>488</v>
      </c>
      <c r="D110" s="28"/>
    </row>
    <row r="111" spans="1:4" x14ac:dyDescent="0.25">
      <c r="A111" s="28" t="s">
        <v>529</v>
      </c>
      <c r="B111" s="28"/>
      <c r="C111" s="28" t="s">
        <v>488</v>
      </c>
      <c r="D111" s="28"/>
    </row>
    <row r="112" spans="1:4" x14ac:dyDescent="0.25">
      <c r="A112" s="28" t="s">
        <v>530</v>
      </c>
      <c r="B112" s="28"/>
      <c r="C112" s="28" t="s">
        <v>488</v>
      </c>
      <c r="D112" s="28"/>
    </row>
    <row r="113" spans="1:4" x14ac:dyDescent="0.25">
      <c r="A113" s="28" t="s">
        <v>531</v>
      </c>
      <c r="B113" s="28"/>
      <c r="C113" s="28" t="s">
        <v>488</v>
      </c>
      <c r="D113" s="28"/>
    </row>
    <row r="114" spans="1:4" x14ac:dyDescent="0.25">
      <c r="A114" s="28" t="s">
        <v>532</v>
      </c>
      <c r="B114" s="28"/>
      <c r="C114" s="28" t="s">
        <v>488</v>
      </c>
      <c r="D114" s="28"/>
    </row>
    <row r="115" spans="1:4" x14ac:dyDescent="0.25">
      <c r="A115" s="28" t="s">
        <v>533</v>
      </c>
      <c r="B115" s="28"/>
      <c r="C115" s="28" t="s">
        <v>488</v>
      </c>
      <c r="D115" s="28"/>
    </row>
    <row r="116" spans="1:4" x14ac:dyDescent="0.25">
      <c r="A116" s="28" t="s">
        <v>534</v>
      </c>
      <c r="B116" s="28"/>
      <c r="C116" s="28" t="s">
        <v>488</v>
      </c>
      <c r="D116" s="28"/>
    </row>
    <row r="117" spans="1:4" x14ac:dyDescent="0.25">
      <c r="A117" s="28" t="s">
        <v>535</v>
      </c>
      <c r="B117" s="28"/>
      <c r="C117" s="28" t="s">
        <v>488</v>
      </c>
      <c r="D117" s="28"/>
    </row>
    <row r="118" spans="1:4" x14ac:dyDescent="0.25">
      <c r="A118" s="28" t="s">
        <v>536</v>
      </c>
      <c r="B118" s="28"/>
      <c r="C118" s="28" t="s">
        <v>488</v>
      </c>
      <c r="D118" s="28"/>
    </row>
    <row r="119" spans="1:4" x14ac:dyDescent="0.25">
      <c r="A119" s="28" t="s">
        <v>537</v>
      </c>
      <c r="B119" s="28"/>
      <c r="C119" s="28" t="s">
        <v>488</v>
      </c>
      <c r="D119" s="28"/>
    </row>
    <row r="120" spans="1:4" x14ac:dyDescent="0.25">
      <c r="A120" s="28" t="s">
        <v>538</v>
      </c>
      <c r="B120" s="28"/>
      <c r="C120" s="28" t="s">
        <v>488</v>
      </c>
      <c r="D120" s="28"/>
    </row>
    <row r="121" spans="1:4" x14ac:dyDescent="0.25">
      <c r="A121" s="28" t="s">
        <v>539</v>
      </c>
      <c r="B121" s="28"/>
      <c r="C121" s="28" t="s">
        <v>488</v>
      </c>
      <c r="D121" s="28"/>
    </row>
    <row r="122" spans="1:4" x14ac:dyDescent="0.25">
      <c r="A122" s="28" t="s">
        <v>540</v>
      </c>
      <c r="B122" s="28"/>
      <c r="C122" s="28" t="s">
        <v>488</v>
      </c>
      <c r="D122" s="28"/>
    </row>
    <row r="123" spans="1:4" x14ac:dyDescent="0.25">
      <c r="A123" s="28" t="s">
        <v>541</v>
      </c>
      <c r="B123" s="28"/>
      <c r="C123" s="28" t="s">
        <v>488</v>
      </c>
      <c r="D123" s="28"/>
    </row>
    <row r="124" spans="1:4" x14ac:dyDescent="0.25">
      <c r="A124" s="28" t="s">
        <v>542</v>
      </c>
      <c r="B124" s="28"/>
      <c r="C124" s="28" t="s">
        <v>488</v>
      </c>
      <c r="D124" s="28"/>
    </row>
    <row r="125" spans="1:4" x14ac:dyDescent="0.25">
      <c r="A125" s="28" t="s">
        <v>543</v>
      </c>
      <c r="B125" s="28"/>
      <c r="C125" s="28" t="s">
        <v>488</v>
      </c>
      <c r="D125" s="28"/>
    </row>
    <row r="126" spans="1:4" x14ac:dyDescent="0.25">
      <c r="A126" s="28" t="s">
        <v>544</v>
      </c>
      <c r="B126" s="28"/>
      <c r="C126" s="28" t="s">
        <v>488</v>
      </c>
      <c r="D126" s="28"/>
    </row>
    <row r="127" spans="1:4" x14ac:dyDescent="0.25">
      <c r="A127" s="28" t="s">
        <v>545</v>
      </c>
      <c r="B127" s="28"/>
      <c r="C127" s="28" t="s">
        <v>488</v>
      </c>
      <c r="D127" s="28"/>
    </row>
    <row r="128" spans="1:4" x14ac:dyDescent="0.25">
      <c r="A128" s="28" t="s">
        <v>546</v>
      </c>
      <c r="B128" s="28"/>
      <c r="C128" s="28" t="s">
        <v>488</v>
      </c>
      <c r="D128" s="28"/>
    </row>
    <row r="129" spans="1:4" x14ac:dyDescent="0.25">
      <c r="A129" s="28" t="s">
        <v>547</v>
      </c>
      <c r="B129" s="28"/>
      <c r="C129" s="28" t="s">
        <v>488</v>
      </c>
      <c r="D129" s="28"/>
    </row>
    <row r="130" spans="1:4" x14ac:dyDescent="0.25">
      <c r="A130" s="28" t="s">
        <v>548</v>
      </c>
      <c r="B130" s="28"/>
      <c r="C130" s="28" t="s">
        <v>488</v>
      </c>
      <c r="D130" s="28"/>
    </row>
    <row r="131" spans="1:4" x14ac:dyDescent="0.25">
      <c r="A131" s="28" t="s">
        <v>549</v>
      </c>
      <c r="B131" s="28"/>
      <c r="C131" s="28" t="s">
        <v>488</v>
      </c>
      <c r="D131" s="28"/>
    </row>
    <row r="132" spans="1:4" x14ac:dyDescent="0.25">
      <c r="A132" s="28" t="s">
        <v>550</v>
      </c>
      <c r="B132" s="28"/>
      <c r="C132" s="28" t="s">
        <v>488</v>
      </c>
      <c r="D132" s="28"/>
    </row>
    <row r="133" spans="1:4" x14ac:dyDescent="0.25">
      <c r="A133" s="28" t="s">
        <v>551</v>
      </c>
      <c r="B133" s="28"/>
      <c r="C133" s="28" t="s">
        <v>488</v>
      </c>
      <c r="D133" s="28"/>
    </row>
    <row r="134" spans="1:4" x14ac:dyDescent="0.25">
      <c r="A134" s="28" t="s">
        <v>552</v>
      </c>
      <c r="B134" s="28"/>
      <c r="C134" s="28" t="s">
        <v>488</v>
      </c>
      <c r="D134" s="28"/>
    </row>
    <row r="135" spans="1:4" x14ac:dyDescent="0.25">
      <c r="A135" s="28" t="s">
        <v>553</v>
      </c>
      <c r="B135" s="28"/>
      <c r="C135" s="28" t="s">
        <v>488</v>
      </c>
      <c r="D135" s="28"/>
    </row>
    <row r="136" spans="1:4" x14ac:dyDescent="0.25">
      <c r="A136" s="28" t="s">
        <v>554</v>
      </c>
      <c r="B136" s="28"/>
      <c r="C136" s="28" t="s">
        <v>488</v>
      </c>
      <c r="D136" s="28"/>
    </row>
    <row r="137" spans="1:4" x14ac:dyDescent="0.25">
      <c r="A137" s="28" t="s">
        <v>555</v>
      </c>
      <c r="B137" s="28"/>
      <c r="C137" s="28" t="s">
        <v>488</v>
      </c>
      <c r="D137" s="28"/>
    </row>
    <row r="138" spans="1:4" x14ac:dyDescent="0.25">
      <c r="A138" s="28" t="s">
        <v>556</v>
      </c>
      <c r="B138" s="28"/>
      <c r="C138" s="28" t="s">
        <v>488</v>
      </c>
      <c r="D138" s="28"/>
    </row>
    <row r="139" spans="1:4" x14ac:dyDescent="0.25">
      <c r="A139" s="28" t="s">
        <v>557</v>
      </c>
      <c r="B139" s="28"/>
      <c r="C139" s="28" t="s">
        <v>488</v>
      </c>
      <c r="D139" s="28"/>
    </row>
    <row r="140" spans="1:4" x14ac:dyDescent="0.25">
      <c r="A140" s="28" t="s">
        <v>558</v>
      </c>
      <c r="B140" s="28"/>
      <c r="C140" s="28" t="s">
        <v>488</v>
      </c>
      <c r="D140" s="28"/>
    </row>
    <row r="141" spans="1:4" x14ac:dyDescent="0.25">
      <c r="A141" s="28" t="s">
        <v>559</v>
      </c>
      <c r="B141" s="28"/>
      <c r="C141" s="28" t="s">
        <v>488</v>
      </c>
      <c r="D141" s="28"/>
    </row>
    <row r="142" spans="1:4" x14ac:dyDescent="0.25">
      <c r="A142" s="28" t="s">
        <v>560</v>
      </c>
      <c r="B142" s="28"/>
      <c r="C142" s="28" t="s">
        <v>488</v>
      </c>
      <c r="D142" s="28"/>
    </row>
    <row r="143" spans="1:4" x14ac:dyDescent="0.25">
      <c r="A143" s="28" t="s">
        <v>561</v>
      </c>
      <c r="B143" s="28"/>
      <c r="C143" s="28" t="s">
        <v>488</v>
      </c>
      <c r="D143" s="28"/>
    </row>
    <row r="144" spans="1:4" x14ac:dyDescent="0.25">
      <c r="A144" s="28" t="s">
        <v>562</v>
      </c>
      <c r="B144" s="28"/>
      <c r="C144" s="28" t="s">
        <v>488</v>
      </c>
      <c r="D144" s="28"/>
    </row>
    <row r="145" spans="1:4" x14ac:dyDescent="0.25">
      <c r="A145" s="28" t="s">
        <v>563</v>
      </c>
      <c r="B145" s="28"/>
      <c r="C145" s="28" t="s">
        <v>488</v>
      </c>
      <c r="D145" s="28"/>
    </row>
    <row r="146" spans="1:4" x14ac:dyDescent="0.25">
      <c r="A146" s="28" t="s">
        <v>564</v>
      </c>
      <c r="B146" s="28"/>
      <c r="C146" s="28" t="s">
        <v>488</v>
      </c>
      <c r="D146" s="28"/>
    </row>
    <row r="147" spans="1:4" x14ac:dyDescent="0.25">
      <c r="A147" s="28" t="s">
        <v>565</v>
      </c>
      <c r="B147" s="28"/>
      <c r="C147" s="28" t="s">
        <v>566</v>
      </c>
      <c r="D147" s="28"/>
    </row>
    <row r="148" spans="1:4" x14ac:dyDescent="0.25">
      <c r="A148" s="28" t="s">
        <v>567</v>
      </c>
      <c r="B148" s="28"/>
      <c r="C148" s="28" t="s">
        <v>568</v>
      </c>
      <c r="D148" s="28"/>
    </row>
    <row r="149" spans="1:4" x14ac:dyDescent="0.25">
      <c r="A149" s="28" t="s">
        <v>569</v>
      </c>
      <c r="B149" s="28"/>
      <c r="C149" s="28" t="s">
        <v>570</v>
      </c>
      <c r="D149" s="28"/>
    </row>
    <row r="150" spans="1:4" x14ac:dyDescent="0.25">
      <c r="A150" s="28" t="s">
        <v>571</v>
      </c>
      <c r="B150" s="28"/>
      <c r="C150" s="28" t="s">
        <v>572</v>
      </c>
      <c r="D150" s="28"/>
    </row>
    <row r="151" spans="1:4" x14ac:dyDescent="0.25">
      <c r="A151" s="28" t="s">
        <v>573</v>
      </c>
      <c r="B151" s="28"/>
      <c r="C151" s="28" t="s">
        <v>572</v>
      </c>
      <c r="D151" s="28"/>
    </row>
    <row r="152" spans="1:4" x14ac:dyDescent="0.25">
      <c r="A152" s="28" t="s">
        <v>574</v>
      </c>
      <c r="B152" s="28"/>
      <c r="C152" s="28" t="s">
        <v>575</v>
      </c>
      <c r="D152" s="28"/>
    </row>
    <row r="153" spans="1:4" x14ac:dyDescent="0.25">
      <c r="A153" s="28" t="s">
        <v>576</v>
      </c>
      <c r="B153" s="28"/>
      <c r="C153" s="28" t="s">
        <v>570</v>
      </c>
      <c r="D153" s="28"/>
    </row>
    <row r="154" spans="1:4" x14ac:dyDescent="0.25">
      <c r="A154" s="28" t="s">
        <v>576</v>
      </c>
      <c r="B154" s="28"/>
      <c r="C154" s="28" t="s">
        <v>577</v>
      </c>
      <c r="D154" s="28"/>
    </row>
    <row r="155" spans="1:4" x14ac:dyDescent="0.25">
      <c r="A155" s="28" t="s">
        <v>578</v>
      </c>
      <c r="B155" s="28"/>
      <c r="C155" s="28" t="s">
        <v>570</v>
      </c>
      <c r="D155" s="28"/>
    </row>
    <row r="156" spans="1:4" x14ac:dyDescent="0.25">
      <c r="A156" s="28" t="s">
        <v>579</v>
      </c>
      <c r="B156" s="28"/>
      <c r="C156" s="28" t="s">
        <v>570</v>
      </c>
      <c r="D156" s="28"/>
    </row>
    <row r="157" spans="1:4" x14ac:dyDescent="0.25">
      <c r="A157" s="28" t="s">
        <v>580</v>
      </c>
      <c r="B157" s="28"/>
      <c r="C157" s="28" t="s">
        <v>570</v>
      </c>
      <c r="D157" s="28"/>
    </row>
    <row r="158" spans="1:4" x14ac:dyDescent="0.25">
      <c r="A158" s="28" t="s">
        <v>581</v>
      </c>
      <c r="B158" s="28"/>
      <c r="C158" s="28" t="s">
        <v>582</v>
      </c>
      <c r="D158" s="28"/>
    </row>
    <row r="159" spans="1:4" x14ac:dyDescent="0.25">
      <c r="A159" s="28" t="s">
        <v>583</v>
      </c>
      <c r="B159" s="28"/>
      <c r="C159" s="28" t="s">
        <v>582</v>
      </c>
      <c r="D159" s="28"/>
    </row>
    <row r="160" spans="1:4" x14ac:dyDescent="0.25">
      <c r="A160" s="28" t="s">
        <v>584</v>
      </c>
      <c r="B160" s="28"/>
      <c r="C160" s="28" t="s">
        <v>582</v>
      </c>
      <c r="D160" s="28"/>
    </row>
    <row r="161" spans="1:4" x14ac:dyDescent="0.25">
      <c r="A161" s="28" t="s">
        <v>584</v>
      </c>
      <c r="B161" s="28"/>
      <c r="C161" s="28" t="s">
        <v>582</v>
      </c>
      <c r="D161" s="28"/>
    </row>
    <row r="162" spans="1:4" x14ac:dyDescent="0.25">
      <c r="A162" s="28" t="s">
        <v>585</v>
      </c>
      <c r="B162" s="28"/>
      <c r="C162" s="28" t="s">
        <v>582</v>
      </c>
      <c r="D162" s="28"/>
    </row>
    <row r="163" spans="1:4" x14ac:dyDescent="0.25">
      <c r="A163" s="28" t="s">
        <v>586</v>
      </c>
      <c r="B163" s="28"/>
      <c r="C163" s="28" t="s">
        <v>582</v>
      </c>
      <c r="D163" s="28"/>
    </row>
    <row r="164" spans="1:4" x14ac:dyDescent="0.25">
      <c r="A164" s="28" t="s">
        <v>587</v>
      </c>
      <c r="B164" s="28"/>
      <c r="C164" s="28" t="s">
        <v>582</v>
      </c>
      <c r="D164" s="28"/>
    </row>
    <row r="165" spans="1:4" x14ac:dyDescent="0.25">
      <c r="A165" s="28" t="s">
        <v>588</v>
      </c>
      <c r="B165" s="28"/>
      <c r="C165" s="28" t="s">
        <v>582</v>
      </c>
      <c r="D165" s="28"/>
    </row>
    <row r="166" spans="1:4" x14ac:dyDescent="0.25">
      <c r="A166" s="28" t="s">
        <v>589</v>
      </c>
      <c r="B166" s="28"/>
      <c r="C166" s="28" t="s">
        <v>582</v>
      </c>
      <c r="D166" s="28"/>
    </row>
    <row r="167" spans="1:4" x14ac:dyDescent="0.25">
      <c r="A167" s="28" t="s">
        <v>590</v>
      </c>
      <c r="B167" s="28"/>
      <c r="C167" s="28" t="s">
        <v>582</v>
      </c>
      <c r="D167" s="28"/>
    </row>
    <row r="168" spans="1:4" x14ac:dyDescent="0.25">
      <c r="A168" s="28" t="s">
        <v>591</v>
      </c>
      <c r="B168" s="28"/>
      <c r="C168" s="28" t="s">
        <v>582</v>
      </c>
      <c r="D168" s="28"/>
    </row>
    <row r="169" spans="1:4" x14ac:dyDescent="0.25">
      <c r="A169" s="28" t="s">
        <v>592</v>
      </c>
      <c r="B169" s="28"/>
      <c r="C169" s="28" t="s">
        <v>582</v>
      </c>
      <c r="D169" s="28"/>
    </row>
    <row r="170" spans="1:4" x14ac:dyDescent="0.25">
      <c r="A170" s="28" t="s">
        <v>593</v>
      </c>
      <c r="B170" s="28"/>
      <c r="C170" s="28" t="s">
        <v>594</v>
      </c>
      <c r="D170" s="28"/>
    </row>
    <row r="171" spans="1:4" x14ac:dyDescent="0.25">
      <c r="A171" s="28" t="s">
        <v>595</v>
      </c>
      <c r="B171" s="28"/>
      <c r="C171" s="28" t="s">
        <v>594</v>
      </c>
      <c r="D171" s="28"/>
    </row>
    <row r="172" spans="1:4" x14ac:dyDescent="0.25">
      <c r="A172" s="28" t="s">
        <v>596</v>
      </c>
      <c r="B172" s="28"/>
      <c r="C172" s="28" t="s">
        <v>594</v>
      </c>
      <c r="D172" s="28"/>
    </row>
    <row r="173" spans="1:4" x14ac:dyDescent="0.25">
      <c r="A173" s="28" t="s">
        <v>597</v>
      </c>
      <c r="B173" s="28"/>
      <c r="C173" s="28" t="s">
        <v>594</v>
      </c>
      <c r="D173" s="28"/>
    </row>
    <row r="174" spans="1:4" x14ac:dyDescent="0.25">
      <c r="A174" s="28" t="s">
        <v>598</v>
      </c>
      <c r="B174" s="28"/>
      <c r="C174" s="28" t="s">
        <v>594</v>
      </c>
      <c r="D174" s="28"/>
    </row>
    <row r="175" spans="1:4" x14ac:dyDescent="0.25">
      <c r="A175" s="28" t="s">
        <v>599</v>
      </c>
      <c r="B175" s="28"/>
      <c r="C175" s="28" t="s">
        <v>594</v>
      </c>
      <c r="D175" s="28"/>
    </row>
    <row r="176" spans="1:4" x14ac:dyDescent="0.25">
      <c r="A176" s="28" t="s">
        <v>600</v>
      </c>
      <c r="B176" s="28"/>
      <c r="C176" s="28" t="s">
        <v>594</v>
      </c>
      <c r="D176" s="28"/>
    </row>
    <row r="177" spans="1:4" x14ac:dyDescent="0.25">
      <c r="A177" s="28" t="s">
        <v>601</v>
      </c>
      <c r="B177" s="28"/>
      <c r="C177" s="28" t="s">
        <v>594</v>
      </c>
      <c r="D177" s="28"/>
    </row>
    <row r="178" spans="1:4" x14ac:dyDescent="0.25">
      <c r="A178" s="28" t="s">
        <v>602</v>
      </c>
      <c r="B178" s="28"/>
      <c r="C178" s="28" t="s">
        <v>594</v>
      </c>
      <c r="D178" s="28"/>
    </row>
    <row r="179" spans="1:4" x14ac:dyDescent="0.25">
      <c r="A179" s="28" t="s">
        <v>603</v>
      </c>
      <c r="B179" s="28"/>
      <c r="C179" s="28" t="s">
        <v>594</v>
      </c>
      <c r="D179" s="28"/>
    </row>
    <row r="180" spans="1:4" x14ac:dyDescent="0.25">
      <c r="A180" s="28" t="s">
        <v>604</v>
      </c>
      <c r="B180" s="28"/>
      <c r="C180" s="28" t="s">
        <v>594</v>
      </c>
      <c r="D180" s="28"/>
    </row>
    <row r="181" spans="1:4" x14ac:dyDescent="0.25">
      <c r="A181" s="28" t="s">
        <v>605</v>
      </c>
      <c r="B181" s="28"/>
      <c r="C181" s="28" t="s">
        <v>594</v>
      </c>
      <c r="D181" s="28"/>
    </row>
    <row r="182" spans="1:4" x14ac:dyDescent="0.25">
      <c r="A182" s="28" t="s">
        <v>606</v>
      </c>
      <c r="B182" s="28"/>
      <c r="C182" s="28" t="s">
        <v>594</v>
      </c>
      <c r="D182" s="28"/>
    </row>
    <row r="183" spans="1:4" x14ac:dyDescent="0.25">
      <c r="A183" s="28" t="s">
        <v>607</v>
      </c>
      <c r="B183" s="28"/>
      <c r="C183" s="28" t="s">
        <v>594</v>
      </c>
      <c r="D183" s="28"/>
    </row>
    <row r="184" spans="1:4" x14ac:dyDescent="0.25">
      <c r="A184" s="28" t="s">
        <v>608</v>
      </c>
      <c r="B184" s="28"/>
      <c r="C184" s="28" t="s">
        <v>594</v>
      </c>
      <c r="D184" s="28"/>
    </row>
    <row r="185" spans="1:4" x14ac:dyDescent="0.25">
      <c r="A185" s="28" t="s">
        <v>609</v>
      </c>
      <c r="B185" s="28"/>
      <c r="C185" s="28" t="s">
        <v>594</v>
      </c>
      <c r="D185" s="28"/>
    </row>
    <row r="186" spans="1:4" x14ac:dyDescent="0.25">
      <c r="A186" s="28" t="s">
        <v>610</v>
      </c>
      <c r="B186" s="28"/>
      <c r="C186" s="28" t="s">
        <v>594</v>
      </c>
      <c r="D186" s="28"/>
    </row>
    <row r="187" spans="1:4" x14ac:dyDescent="0.25">
      <c r="A187" s="28" t="s">
        <v>611</v>
      </c>
      <c r="B187" s="28"/>
      <c r="C187" s="28" t="s">
        <v>594</v>
      </c>
      <c r="D187" s="28"/>
    </row>
    <row r="188" spans="1:4" x14ac:dyDescent="0.25">
      <c r="A188" s="28" t="s">
        <v>612</v>
      </c>
      <c r="B188" s="28"/>
      <c r="C188" s="28" t="s">
        <v>594</v>
      </c>
      <c r="D188" s="28"/>
    </row>
    <row r="189" spans="1:4" x14ac:dyDescent="0.25">
      <c r="A189" s="28" t="s">
        <v>613</v>
      </c>
      <c r="B189" s="28"/>
      <c r="C189" s="28" t="s">
        <v>594</v>
      </c>
      <c r="D189" s="28"/>
    </row>
    <row r="190" spans="1:4" x14ac:dyDescent="0.25">
      <c r="A190" s="28" t="s">
        <v>614</v>
      </c>
      <c r="B190" s="28"/>
      <c r="C190" s="28" t="s">
        <v>594</v>
      </c>
      <c r="D190" s="28"/>
    </row>
    <row r="191" spans="1:4" x14ac:dyDescent="0.25">
      <c r="A191" s="28" t="s">
        <v>615</v>
      </c>
      <c r="B191" s="28"/>
      <c r="C191" s="28" t="s">
        <v>594</v>
      </c>
      <c r="D191" s="28"/>
    </row>
    <row r="192" spans="1:4" x14ac:dyDescent="0.25">
      <c r="A192" s="28" t="s">
        <v>616</v>
      </c>
      <c r="B192" s="28"/>
      <c r="C192" s="28" t="s">
        <v>594</v>
      </c>
      <c r="D192" s="28"/>
    </row>
    <row r="193" spans="1:4" x14ac:dyDescent="0.25">
      <c r="A193" s="28" t="s">
        <v>617</v>
      </c>
      <c r="B193" s="28"/>
      <c r="C193" s="28" t="s">
        <v>594</v>
      </c>
      <c r="D193" s="28"/>
    </row>
    <row r="194" spans="1:4" x14ac:dyDescent="0.25">
      <c r="A194" s="28" t="s">
        <v>618</v>
      </c>
      <c r="B194" s="28"/>
      <c r="C194" s="28" t="s">
        <v>594</v>
      </c>
      <c r="D194" s="28"/>
    </row>
    <row r="195" spans="1:4" x14ac:dyDescent="0.25">
      <c r="A195" s="28" t="s">
        <v>619</v>
      </c>
      <c r="B195" s="28"/>
      <c r="C195" s="28" t="s">
        <v>594</v>
      </c>
      <c r="D195" s="28"/>
    </row>
    <row r="196" spans="1:4" x14ac:dyDescent="0.25">
      <c r="A196" s="28" t="s">
        <v>620</v>
      </c>
      <c r="B196" s="28"/>
      <c r="C196" s="28" t="s">
        <v>594</v>
      </c>
      <c r="D196" s="28"/>
    </row>
    <row r="197" spans="1:4" x14ac:dyDescent="0.25">
      <c r="A197" s="28" t="s">
        <v>621</v>
      </c>
      <c r="B197" s="28"/>
      <c r="C197" s="28" t="s">
        <v>622</v>
      </c>
      <c r="D197" s="28"/>
    </row>
    <row r="198" spans="1:4" x14ac:dyDescent="0.25">
      <c r="A198" s="28" t="s">
        <v>623</v>
      </c>
      <c r="B198" s="28"/>
      <c r="C198" s="28" t="s">
        <v>622</v>
      </c>
      <c r="D198" s="28"/>
    </row>
    <row r="199" spans="1:4" x14ac:dyDescent="0.25">
      <c r="A199" s="28" t="s">
        <v>624</v>
      </c>
      <c r="B199" s="28"/>
      <c r="C199" s="28" t="s">
        <v>622</v>
      </c>
      <c r="D199" s="28"/>
    </row>
    <row r="200" spans="1:4" x14ac:dyDescent="0.25">
      <c r="A200" s="28" t="s">
        <v>625</v>
      </c>
      <c r="B200" s="28"/>
      <c r="C200" s="28" t="s">
        <v>626</v>
      </c>
      <c r="D200" s="28"/>
    </row>
    <row r="201" spans="1:4" x14ac:dyDescent="0.25">
      <c r="A201" s="28" t="s">
        <v>625</v>
      </c>
      <c r="B201" s="28"/>
      <c r="C201" s="28" t="s">
        <v>627</v>
      </c>
      <c r="D201" s="28"/>
    </row>
    <row r="202" spans="1:4" x14ac:dyDescent="0.25">
      <c r="A202" s="28" t="s">
        <v>628</v>
      </c>
      <c r="B202" s="28"/>
      <c r="C202" s="28" t="s">
        <v>629</v>
      </c>
      <c r="D202" s="28"/>
    </row>
    <row r="203" spans="1:4" x14ac:dyDescent="0.25">
      <c r="A203" s="28" t="s">
        <v>628</v>
      </c>
      <c r="B203" s="28"/>
      <c r="C203" s="28" t="s">
        <v>629</v>
      </c>
      <c r="D203" s="28"/>
    </row>
    <row r="204" spans="1:4" x14ac:dyDescent="0.25">
      <c r="A204" s="28" t="s">
        <v>628</v>
      </c>
      <c r="B204" s="28"/>
      <c r="C204" s="28" t="s">
        <v>629</v>
      </c>
      <c r="D204" s="28"/>
    </row>
    <row r="205" spans="1:4" x14ac:dyDescent="0.25">
      <c r="A205" s="28" t="s">
        <v>630</v>
      </c>
      <c r="B205" s="28"/>
      <c r="C205" s="28" t="s">
        <v>631</v>
      </c>
      <c r="D205" s="28"/>
    </row>
    <row r="206" spans="1:4" x14ac:dyDescent="0.25">
      <c r="A206" s="28" t="s">
        <v>632</v>
      </c>
      <c r="B206" s="28"/>
      <c r="C206" s="28" t="s">
        <v>633</v>
      </c>
      <c r="D206" s="28"/>
    </row>
    <row r="207" spans="1:4" x14ac:dyDescent="0.25">
      <c r="A207" s="28" t="s">
        <v>634</v>
      </c>
      <c r="B207" s="28"/>
      <c r="C207" s="28" t="s">
        <v>635</v>
      </c>
      <c r="D207" s="28"/>
    </row>
    <row r="208" spans="1:4" x14ac:dyDescent="0.25">
      <c r="A208" s="28" t="s">
        <v>634</v>
      </c>
      <c r="B208" s="28"/>
      <c r="C208" s="28" t="s">
        <v>636</v>
      </c>
      <c r="D208" s="28"/>
    </row>
    <row r="209" spans="1:4" x14ac:dyDescent="0.25">
      <c r="A209" s="28" t="s">
        <v>637</v>
      </c>
      <c r="B209" s="28"/>
      <c r="C209" s="28" t="s">
        <v>638</v>
      </c>
      <c r="D209" s="28"/>
    </row>
    <row r="210" spans="1:4" x14ac:dyDescent="0.25">
      <c r="A210" s="28" t="s">
        <v>639</v>
      </c>
      <c r="B210" s="28"/>
      <c r="C210" s="28" t="s">
        <v>640</v>
      </c>
      <c r="D210" s="28"/>
    </row>
    <row r="211" spans="1:4" x14ac:dyDescent="0.25">
      <c r="A211" s="28" t="s">
        <v>641</v>
      </c>
      <c r="B211" s="28"/>
      <c r="C211" s="28" t="s">
        <v>642</v>
      </c>
      <c r="D211" s="28"/>
    </row>
    <row r="212" spans="1:4" x14ac:dyDescent="0.25">
      <c r="A212" s="28" t="s">
        <v>643</v>
      </c>
      <c r="B212" s="28"/>
      <c r="C212" s="28" t="s">
        <v>642</v>
      </c>
      <c r="D212" s="28"/>
    </row>
    <row r="213" spans="1:4" x14ac:dyDescent="0.25">
      <c r="A213" s="28" t="s">
        <v>644</v>
      </c>
      <c r="B213" s="28"/>
      <c r="C213" s="28" t="s">
        <v>645</v>
      </c>
      <c r="D213" s="28"/>
    </row>
    <row r="214" spans="1:4" x14ac:dyDescent="0.25">
      <c r="A214" s="28" t="s">
        <v>644</v>
      </c>
      <c r="B214" s="28"/>
      <c r="C214" s="28" t="s">
        <v>646</v>
      </c>
      <c r="D214" s="28"/>
    </row>
    <row r="215" spans="1:4" x14ac:dyDescent="0.25">
      <c r="A215" s="28" t="s">
        <v>647</v>
      </c>
      <c r="B215" s="28"/>
      <c r="C215" s="28" t="s">
        <v>648</v>
      </c>
      <c r="D215" s="28"/>
    </row>
    <row r="216" spans="1:4" x14ac:dyDescent="0.25">
      <c r="A216" s="28" t="s">
        <v>647</v>
      </c>
      <c r="B216" s="28"/>
      <c r="C216" s="28" t="s">
        <v>649</v>
      </c>
      <c r="D216" s="28"/>
    </row>
    <row r="217" spans="1:4" x14ac:dyDescent="0.25">
      <c r="A217" s="28" t="s">
        <v>650</v>
      </c>
      <c r="B217" s="28"/>
      <c r="C217" s="28" t="s">
        <v>649</v>
      </c>
      <c r="D217" s="28"/>
    </row>
    <row r="218" spans="1:4" x14ac:dyDescent="0.25">
      <c r="A218" s="28" t="s">
        <v>650</v>
      </c>
      <c r="B218" s="28"/>
      <c r="C218" s="28" t="s">
        <v>648</v>
      </c>
      <c r="D218" s="28"/>
    </row>
    <row r="219" spans="1:4" x14ac:dyDescent="0.25">
      <c r="A219" s="28" t="s">
        <v>651</v>
      </c>
      <c r="B219" s="28"/>
      <c r="C219" s="28" t="s">
        <v>645</v>
      </c>
      <c r="D219" s="28"/>
    </row>
    <row r="220" spans="1:4" x14ac:dyDescent="0.25">
      <c r="A220" s="28" t="s">
        <v>652</v>
      </c>
      <c r="B220" s="28"/>
      <c r="C220" s="28" t="s">
        <v>653</v>
      </c>
      <c r="D220" s="28"/>
    </row>
    <row r="221" spans="1:4" x14ac:dyDescent="0.25">
      <c r="A221" s="28" t="s">
        <v>654</v>
      </c>
      <c r="B221" s="28"/>
      <c r="C221" s="28" t="s">
        <v>653</v>
      </c>
      <c r="D221" s="28"/>
    </row>
    <row r="222" spans="1:4" x14ac:dyDescent="0.25">
      <c r="A222" s="28" t="s">
        <v>655</v>
      </c>
      <c r="B222" s="28"/>
      <c r="C222" s="28" t="s">
        <v>653</v>
      </c>
      <c r="D222" s="28"/>
    </row>
    <row r="223" spans="1:4" x14ac:dyDescent="0.25">
      <c r="A223" s="28" t="s">
        <v>656</v>
      </c>
      <c r="B223" s="28"/>
      <c r="C223" s="28" t="s">
        <v>657</v>
      </c>
      <c r="D223" s="28"/>
    </row>
    <row r="224" spans="1:4" x14ac:dyDescent="0.25">
      <c r="A224" s="28" t="s">
        <v>658</v>
      </c>
      <c r="B224" s="28"/>
      <c r="C224" s="28" t="s">
        <v>659</v>
      </c>
      <c r="D224" s="28"/>
    </row>
    <row r="225" spans="1:4" x14ac:dyDescent="0.25">
      <c r="A225" s="28" t="s">
        <v>660</v>
      </c>
      <c r="B225" s="28"/>
      <c r="C225" s="28" t="s">
        <v>661</v>
      </c>
      <c r="D225" s="28"/>
    </row>
    <row r="226" spans="1:4" x14ac:dyDescent="0.25">
      <c r="A226" s="28" t="s">
        <v>660</v>
      </c>
      <c r="B226" s="28"/>
      <c r="C226" s="28" t="s">
        <v>661</v>
      </c>
      <c r="D226" s="28"/>
    </row>
    <row r="227" spans="1:4" x14ac:dyDescent="0.25">
      <c r="A227" s="28" t="s">
        <v>660</v>
      </c>
      <c r="B227" s="28"/>
      <c r="C227" s="28" t="s">
        <v>662</v>
      </c>
      <c r="D227" s="28"/>
    </row>
    <row r="228" spans="1:4" x14ac:dyDescent="0.25">
      <c r="A228" s="28" t="s">
        <v>663</v>
      </c>
      <c r="B228" s="28"/>
      <c r="C228" s="28" t="s">
        <v>488</v>
      </c>
      <c r="D228" s="28"/>
    </row>
    <row r="229" spans="1:4" x14ac:dyDescent="0.25">
      <c r="A229" s="28" t="s">
        <v>664</v>
      </c>
      <c r="B229" s="28"/>
      <c r="C229" s="28" t="s">
        <v>665</v>
      </c>
      <c r="D229" s="28"/>
    </row>
    <row r="230" spans="1:4" x14ac:dyDescent="0.25">
      <c r="A230" s="28" t="s">
        <v>666</v>
      </c>
      <c r="B230" s="28"/>
      <c r="C230" s="28" t="s">
        <v>667</v>
      </c>
      <c r="D230" s="28"/>
    </row>
    <row r="231" spans="1:4" x14ac:dyDescent="0.25">
      <c r="A231" s="28" t="s">
        <v>666</v>
      </c>
      <c r="B231" s="28"/>
      <c r="C231" s="28" t="s">
        <v>668</v>
      </c>
      <c r="D231" s="28"/>
    </row>
    <row r="232" spans="1:4" x14ac:dyDescent="0.25">
      <c r="A232" s="28" t="s">
        <v>669</v>
      </c>
      <c r="B232" s="28"/>
      <c r="C232" s="28" t="s">
        <v>670</v>
      </c>
      <c r="D232" s="28"/>
    </row>
    <row r="233" spans="1:4" x14ac:dyDescent="0.25">
      <c r="A233" s="28" t="s">
        <v>669</v>
      </c>
      <c r="B233" s="28"/>
      <c r="C233" s="28" t="s">
        <v>670</v>
      </c>
      <c r="D233" s="28"/>
    </row>
    <row r="234" spans="1:4" x14ac:dyDescent="0.25">
      <c r="A234" s="28" t="s">
        <v>671</v>
      </c>
      <c r="B234" s="28"/>
      <c r="C234" s="28" t="s">
        <v>672</v>
      </c>
      <c r="D234" s="28"/>
    </row>
    <row r="235" spans="1:4" x14ac:dyDescent="0.25">
      <c r="A235" s="28" t="s">
        <v>673</v>
      </c>
      <c r="B235" s="28"/>
      <c r="C235" s="28" t="s">
        <v>674</v>
      </c>
      <c r="D235" s="28"/>
    </row>
    <row r="236" spans="1:4" x14ac:dyDescent="0.25">
      <c r="A236" s="28" t="s">
        <v>673</v>
      </c>
      <c r="B236" s="28"/>
      <c r="C236" s="28" t="s">
        <v>675</v>
      </c>
      <c r="D236" s="28"/>
    </row>
    <row r="237" spans="1:4" x14ac:dyDescent="0.25">
      <c r="A237" s="28" t="s">
        <v>676</v>
      </c>
      <c r="B237" s="28"/>
      <c r="C237" s="28" t="s">
        <v>674</v>
      </c>
      <c r="D237" s="28"/>
    </row>
    <row r="238" spans="1:4" x14ac:dyDescent="0.25">
      <c r="A238" s="28" t="s">
        <v>677</v>
      </c>
      <c r="B238" s="28"/>
      <c r="C238" s="28" t="s">
        <v>674</v>
      </c>
      <c r="D238" s="28"/>
    </row>
    <row r="239" spans="1:4" x14ac:dyDescent="0.25">
      <c r="A239" s="28" t="s">
        <v>678</v>
      </c>
      <c r="B239" s="28"/>
      <c r="C239" s="28" t="s">
        <v>674</v>
      </c>
      <c r="D239" s="28"/>
    </row>
    <row r="240" spans="1:4" x14ac:dyDescent="0.25">
      <c r="A240" s="28" t="s">
        <v>679</v>
      </c>
      <c r="B240" s="28"/>
      <c r="C240" s="28" t="s">
        <v>674</v>
      </c>
      <c r="D240" s="28"/>
    </row>
    <row r="241" spans="1:4" x14ac:dyDescent="0.25">
      <c r="A241" s="28" t="s">
        <v>680</v>
      </c>
      <c r="B241" s="28"/>
      <c r="C241" s="28" t="s">
        <v>681</v>
      </c>
      <c r="D241" s="28"/>
    </row>
    <row r="242" spans="1:4" x14ac:dyDescent="0.25">
      <c r="A242" s="28" t="s">
        <v>680</v>
      </c>
      <c r="B242" s="28"/>
      <c r="C242" s="28" t="s">
        <v>667</v>
      </c>
      <c r="D242" s="28"/>
    </row>
    <row r="243" spans="1:4" x14ac:dyDescent="0.25">
      <c r="A243" s="28" t="s">
        <v>680</v>
      </c>
      <c r="B243" s="28"/>
      <c r="C243" s="28" t="s">
        <v>682</v>
      </c>
      <c r="D243" s="28"/>
    </row>
    <row r="244" spans="1:4" x14ac:dyDescent="0.25">
      <c r="A244" s="28" t="s">
        <v>683</v>
      </c>
      <c r="B244" s="28"/>
      <c r="C244" s="28" t="s">
        <v>670</v>
      </c>
      <c r="D244" s="28"/>
    </row>
    <row r="245" spans="1:4" x14ac:dyDescent="0.25">
      <c r="A245" s="28" t="s">
        <v>683</v>
      </c>
      <c r="B245" s="28"/>
      <c r="C245" s="28" t="s">
        <v>670</v>
      </c>
      <c r="D245" s="28"/>
    </row>
    <row r="246" spans="1:4" x14ac:dyDescent="0.25">
      <c r="A246" s="28" t="s">
        <v>684</v>
      </c>
      <c r="B246" s="28"/>
      <c r="C246" s="28" t="s">
        <v>685</v>
      </c>
      <c r="D246" s="28"/>
    </row>
    <row r="247" spans="1:4" x14ac:dyDescent="0.25">
      <c r="A247" s="28" t="s">
        <v>686</v>
      </c>
      <c r="B247" s="28"/>
      <c r="C247" s="28" t="s">
        <v>675</v>
      </c>
      <c r="D247" s="28"/>
    </row>
    <row r="248" spans="1:4" x14ac:dyDescent="0.25">
      <c r="A248" s="28" t="s">
        <v>686</v>
      </c>
      <c r="B248" s="28"/>
      <c r="C248" s="28" t="s">
        <v>674</v>
      </c>
      <c r="D248" s="28"/>
    </row>
    <row r="249" spans="1:4" x14ac:dyDescent="0.25">
      <c r="A249" s="28" t="s">
        <v>687</v>
      </c>
      <c r="B249" s="28"/>
      <c r="C249" s="28" t="s">
        <v>674</v>
      </c>
      <c r="D249" s="28"/>
    </row>
    <row r="250" spans="1:4" x14ac:dyDescent="0.25">
      <c r="A250" s="28" t="s">
        <v>687</v>
      </c>
      <c r="B250" s="28"/>
      <c r="C250" s="28" t="s">
        <v>675</v>
      </c>
      <c r="D250" s="28"/>
    </row>
    <row r="251" spans="1:4" x14ac:dyDescent="0.25">
      <c r="A251" s="28" t="s">
        <v>688</v>
      </c>
      <c r="B251" s="28"/>
      <c r="C251" s="28" t="s">
        <v>674</v>
      </c>
      <c r="D251" s="28"/>
    </row>
    <row r="252" spans="1:4" x14ac:dyDescent="0.25">
      <c r="A252" s="28" t="s">
        <v>688</v>
      </c>
      <c r="B252" s="28"/>
      <c r="C252" s="28" t="s">
        <v>689</v>
      </c>
      <c r="D252" s="28"/>
    </row>
    <row r="253" spans="1:4" x14ac:dyDescent="0.25">
      <c r="A253" s="28" t="s">
        <v>690</v>
      </c>
      <c r="B253" s="28"/>
      <c r="C253" s="28" t="s">
        <v>674</v>
      </c>
      <c r="D253" s="28"/>
    </row>
    <row r="254" spans="1:4" x14ac:dyDescent="0.25">
      <c r="A254" s="28" t="s">
        <v>690</v>
      </c>
      <c r="B254" s="28"/>
      <c r="C254" s="28" t="s">
        <v>689</v>
      </c>
      <c r="D254" s="28"/>
    </row>
    <row r="255" spans="1:4" x14ac:dyDescent="0.25">
      <c r="A255" s="28" t="s">
        <v>691</v>
      </c>
      <c r="B255" s="28"/>
      <c r="C255" s="28" t="s">
        <v>674</v>
      </c>
      <c r="D255" s="28"/>
    </row>
    <row r="256" spans="1:4" x14ac:dyDescent="0.25">
      <c r="A256" s="28" t="s">
        <v>692</v>
      </c>
      <c r="B256" s="28"/>
      <c r="C256" s="28" t="s">
        <v>674</v>
      </c>
      <c r="D256" s="28"/>
    </row>
    <row r="257" spans="1:4" x14ac:dyDescent="0.25">
      <c r="A257" s="28" t="s">
        <v>692</v>
      </c>
      <c r="B257" s="28"/>
      <c r="C257" s="28" t="s">
        <v>689</v>
      </c>
      <c r="D257" s="28"/>
    </row>
    <row r="258" spans="1:4" x14ac:dyDescent="0.25">
      <c r="A258" s="28" t="s">
        <v>693</v>
      </c>
      <c r="B258" s="28"/>
      <c r="C258" s="28" t="s">
        <v>667</v>
      </c>
      <c r="D258" s="28"/>
    </row>
    <row r="259" spans="1:4" x14ac:dyDescent="0.25">
      <c r="A259" s="28" t="s">
        <v>693</v>
      </c>
      <c r="B259" s="28"/>
      <c r="C259" s="28" t="s">
        <v>694</v>
      </c>
      <c r="D259" s="28"/>
    </row>
    <row r="260" spans="1:4" x14ac:dyDescent="0.25">
      <c r="A260" s="28" t="s">
        <v>693</v>
      </c>
      <c r="B260" s="28"/>
      <c r="C260" s="28" t="s">
        <v>668</v>
      </c>
      <c r="D260" s="28"/>
    </row>
    <row r="261" spans="1:4" x14ac:dyDescent="0.25">
      <c r="A261" s="28" t="s">
        <v>695</v>
      </c>
      <c r="B261" s="28"/>
      <c r="C261" s="28" t="s">
        <v>670</v>
      </c>
      <c r="D261" s="28"/>
    </row>
    <row r="262" spans="1:4" x14ac:dyDescent="0.25">
      <c r="A262" s="28" t="s">
        <v>695</v>
      </c>
      <c r="B262" s="28"/>
      <c r="C262" s="28" t="s">
        <v>670</v>
      </c>
      <c r="D262" s="28"/>
    </row>
    <row r="263" spans="1:4" x14ac:dyDescent="0.25">
      <c r="A263" s="28" t="s">
        <v>696</v>
      </c>
      <c r="B263" s="28"/>
      <c r="C263" s="28" t="s">
        <v>670</v>
      </c>
      <c r="D263" s="28"/>
    </row>
    <row r="264" spans="1:4" x14ac:dyDescent="0.25">
      <c r="A264" s="28" t="s">
        <v>696</v>
      </c>
      <c r="B264" s="28"/>
      <c r="C264" s="28" t="s">
        <v>670</v>
      </c>
      <c r="D264" s="28"/>
    </row>
    <row r="265" spans="1:4" x14ac:dyDescent="0.25">
      <c r="A265" s="28" t="s">
        <v>697</v>
      </c>
      <c r="B265" s="28"/>
      <c r="C265" s="28" t="s">
        <v>674</v>
      </c>
      <c r="D265" s="28"/>
    </row>
    <row r="266" spans="1:4" x14ac:dyDescent="0.25">
      <c r="A266" s="28" t="s">
        <v>698</v>
      </c>
      <c r="B266" s="28"/>
      <c r="C266" s="28" t="s">
        <v>674</v>
      </c>
      <c r="D266" s="28"/>
    </row>
    <row r="267" spans="1:4" x14ac:dyDescent="0.25">
      <c r="A267" s="28" t="s">
        <v>699</v>
      </c>
      <c r="B267" s="28"/>
      <c r="C267" s="28" t="s">
        <v>674</v>
      </c>
      <c r="D267" s="28"/>
    </row>
    <row r="268" spans="1:4" x14ac:dyDescent="0.25">
      <c r="A268" s="28" t="s">
        <v>699</v>
      </c>
      <c r="B268" s="28"/>
      <c r="C268" s="28" t="s">
        <v>700</v>
      </c>
      <c r="D268" s="28"/>
    </row>
    <row r="269" spans="1:4" x14ac:dyDescent="0.25">
      <c r="A269" s="28" t="s">
        <v>699</v>
      </c>
      <c r="B269" s="28"/>
      <c r="C269" s="28" t="s">
        <v>701</v>
      </c>
      <c r="D269" s="28"/>
    </row>
    <row r="270" spans="1:4" x14ac:dyDescent="0.25">
      <c r="A270" s="28" t="s">
        <v>702</v>
      </c>
      <c r="B270" s="28"/>
      <c r="C270" s="28" t="s">
        <v>674</v>
      </c>
      <c r="D270" s="28"/>
    </row>
    <row r="271" spans="1:4" x14ac:dyDescent="0.25">
      <c r="A271" s="28" t="s">
        <v>703</v>
      </c>
      <c r="B271" s="28"/>
      <c r="C271" s="28" t="s">
        <v>704</v>
      </c>
      <c r="D271" s="28"/>
    </row>
    <row r="272" spans="1:4" x14ac:dyDescent="0.25">
      <c r="A272" s="28" t="s">
        <v>705</v>
      </c>
      <c r="B272" s="28"/>
      <c r="C272" s="28" t="s">
        <v>674</v>
      </c>
      <c r="D272" s="28"/>
    </row>
    <row r="273" spans="1:4" x14ac:dyDescent="0.25">
      <c r="A273" s="28" t="s">
        <v>706</v>
      </c>
      <c r="B273" s="28"/>
      <c r="C273" s="28" t="s">
        <v>704</v>
      </c>
      <c r="D273" s="28"/>
    </row>
    <row r="274" spans="1:4" x14ac:dyDescent="0.25">
      <c r="A274" s="28" t="s">
        <v>707</v>
      </c>
      <c r="B274" s="28"/>
      <c r="C274" s="28" t="s">
        <v>674</v>
      </c>
      <c r="D274" s="28"/>
    </row>
    <row r="275" spans="1:4" x14ac:dyDescent="0.25">
      <c r="A275" s="28" t="s">
        <v>708</v>
      </c>
      <c r="B275" s="28"/>
      <c r="C275" s="28" t="s">
        <v>704</v>
      </c>
      <c r="D275" s="28"/>
    </row>
    <row r="276" spans="1:4" x14ac:dyDescent="0.25">
      <c r="A276" s="28" t="s">
        <v>709</v>
      </c>
      <c r="B276" s="28"/>
      <c r="C276" s="28" t="s">
        <v>674</v>
      </c>
      <c r="D276" s="28"/>
    </row>
    <row r="277" spans="1:4" x14ac:dyDescent="0.25">
      <c r="A277" s="28" t="s">
        <v>710</v>
      </c>
      <c r="B277" s="28"/>
      <c r="C277" s="28" t="s">
        <v>704</v>
      </c>
      <c r="D277" s="28"/>
    </row>
    <row r="278" spans="1:4" x14ac:dyDescent="0.25">
      <c r="A278" s="28" t="s">
        <v>711</v>
      </c>
      <c r="B278" s="28"/>
      <c r="C278" s="28" t="s">
        <v>712</v>
      </c>
      <c r="D278" s="28"/>
    </row>
    <row r="279" spans="1:4" x14ac:dyDescent="0.25">
      <c r="A279" s="28" t="s">
        <v>711</v>
      </c>
      <c r="B279" s="28"/>
      <c r="C279" s="28" t="s">
        <v>713</v>
      </c>
      <c r="D279" s="28"/>
    </row>
    <row r="280" spans="1:4" x14ac:dyDescent="0.25">
      <c r="A280" s="28" t="s">
        <v>711</v>
      </c>
      <c r="B280" s="28"/>
      <c r="C280" s="28" t="s">
        <v>714</v>
      </c>
      <c r="D280" s="28"/>
    </row>
    <row r="281" spans="1:4" x14ac:dyDescent="0.25">
      <c r="A281" s="28" t="s">
        <v>711</v>
      </c>
      <c r="B281" s="28"/>
      <c r="C281" s="28" t="s">
        <v>667</v>
      </c>
      <c r="D281" s="28"/>
    </row>
    <row r="282" spans="1:4" x14ac:dyDescent="0.25">
      <c r="A282" s="28" t="s">
        <v>711</v>
      </c>
      <c r="B282" s="28"/>
      <c r="C282" s="28" t="s">
        <v>668</v>
      </c>
      <c r="D282" s="28"/>
    </row>
    <row r="283" spans="1:4" x14ac:dyDescent="0.25">
      <c r="A283" s="28" t="s">
        <v>716</v>
      </c>
      <c r="B283" s="28"/>
      <c r="C283" s="28" t="s">
        <v>670</v>
      </c>
      <c r="D283" s="28"/>
    </row>
    <row r="284" spans="1:4" x14ac:dyDescent="0.25">
      <c r="A284" s="28" t="s">
        <v>716</v>
      </c>
      <c r="B284" s="28"/>
      <c r="C284" s="28" t="s">
        <v>670</v>
      </c>
      <c r="D284" s="28"/>
    </row>
    <row r="285" spans="1:4" x14ac:dyDescent="0.25">
      <c r="A285" s="28" t="s">
        <v>717</v>
      </c>
      <c r="B285" s="28"/>
      <c r="C285" s="28" t="s">
        <v>672</v>
      </c>
      <c r="D285" s="28"/>
    </row>
    <row r="286" spans="1:4" x14ac:dyDescent="0.25">
      <c r="A286" s="28" t="s">
        <v>718</v>
      </c>
      <c r="B286" s="28"/>
      <c r="C286" s="28" t="s">
        <v>719</v>
      </c>
      <c r="D286" s="28"/>
    </row>
    <row r="287" spans="1:4" x14ac:dyDescent="0.25">
      <c r="A287" s="28" t="s">
        <v>720</v>
      </c>
      <c r="B287" s="28"/>
      <c r="C287" s="28" t="s">
        <v>674</v>
      </c>
      <c r="D287" s="28"/>
    </row>
    <row r="288" spans="1:4" x14ac:dyDescent="0.25">
      <c r="A288" s="28" t="s">
        <v>721</v>
      </c>
      <c r="B288" s="28"/>
      <c r="C288" s="28" t="s">
        <v>722</v>
      </c>
      <c r="D288" s="28"/>
    </row>
    <row r="289" spans="1:4" x14ac:dyDescent="0.25">
      <c r="A289" s="28" t="s">
        <v>721</v>
      </c>
      <c r="B289" s="28"/>
      <c r="C289" s="28" t="s">
        <v>723</v>
      </c>
      <c r="D289" s="28"/>
    </row>
    <row r="290" spans="1:4" x14ac:dyDescent="0.25">
      <c r="A290" s="28" t="s">
        <v>724</v>
      </c>
      <c r="B290" s="28"/>
      <c r="C290" s="28" t="s">
        <v>674</v>
      </c>
      <c r="D290" s="28"/>
    </row>
    <row r="291" spans="1:4" x14ac:dyDescent="0.25">
      <c r="A291" s="28" t="s">
        <v>725</v>
      </c>
      <c r="B291" s="28"/>
      <c r="C291" s="28" t="s">
        <v>674</v>
      </c>
      <c r="D291" s="28"/>
    </row>
    <row r="292" spans="1:4" x14ac:dyDescent="0.25">
      <c r="A292" s="28" t="s">
        <v>725</v>
      </c>
      <c r="B292" s="28"/>
      <c r="C292" s="28" t="s">
        <v>689</v>
      </c>
      <c r="D292" s="28"/>
    </row>
    <row r="293" spans="1:4" x14ac:dyDescent="0.25">
      <c r="A293" s="28" t="s">
        <v>726</v>
      </c>
      <c r="B293" s="28"/>
      <c r="C293" s="28" t="s">
        <v>667</v>
      </c>
      <c r="D293" s="28"/>
    </row>
    <row r="294" spans="1:4" x14ac:dyDescent="0.25">
      <c r="A294" s="28" t="s">
        <v>727</v>
      </c>
      <c r="B294" s="28"/>
      <c r="C294" s="28" t="s">
        <v>728</v>
      </c>
      <c r="D294" s="28"/>
    </row>
    <row r="295" spans="1:4" x14ac:dyDescent="0.25">
      <c r="A295" s="28" t="s">
        <v>727</v>
      </c>
      <c r="B295" s="28"/>
      <c r="C295" s="28" t="s">
        <v>672</v>
      </c>
      <c r="D295" s="28"/>
    </row>
    <row r="296" spans="1:4" x14ac:dyDescent="0.25">
      <c r="A296" s="28" t="s">
        <v>729</v>
      </c>
      <c r="B296" s="28"/>
      <c r="C296" s="28" t="s">
        <v>730</v>
      </c>
      <c r="D296" s="28"/>
    </row>
    <row r="297" spans="1:4" x14ac:dyDescent="0.25">
      <c r="A297" s="28" t="s">
        <v>731</v>
      </c>
      <c r="B297" s="28"/>
      <c r="C297" s="28" t="s">
        <v>730</v>
      </c>
      <c r="D297" s="28"/>
    </row>
    <row r="298" spans="1:4" x14ac:dyDescent="0.25">
      <c r="A298" s="28" t="s">
        <v>732</v>
      </c>
      <c r="B298" s="28"/>
      <c r="C298" s="28" t="s">
        <v>730</v>
      </c>
      <c r="D298" s="28"/>
    </row>
    <row r="299" spans="1:4" x14ac:dyDescent="0.25">
      <c r="A299" s="28" t="s">
        <v>733</v>
      </c>
      <c r="B299" s="28"/>
      <c r="C299" s="28" t="s">
        <v>730</v>
      </c>
      <c r="D299" s="28"/>
    </row>
    <row r="300" spans="1:4" x14ac:dyDescent="0.25">
      <c r="A300" s="28" t="s">
        <v>734</v>
      </c>
      <c r="B300" s="28"/>
      <c r="C300" s="28" t="s">
        <v>730</v>
      </c>
      <c r="D300" s="28"/>
    </row>
    <row r="301" spans="1:4" x14ac:dyDescent="0.25">
      <c r="A301" s="28" t="s">
        <v>735</v>
      </c>
      <c r="B301" s="28"/>
      <c r="C301" s="28" t="s">
        <v>730</v>
      </c>
      <c r="D301" s="28"/>
    </row>
    <row r="302" spans="1:4" x14ac:dyDescent="0.25">
      <c r="A302" s="28" t="s">
        <v>736</v>
      </c>
      <c r="B302" s="28"/>
      <c r="C302" s="28" t="s">
        <v>689</v>
      </c>
      <c r="D302" s="28"/>
    </row>
    <row r="303" spans="1:4" x14ac:dyDescent="0.25">
      <c r="A303" s="28" t="s">
        <v>737</v>
      </c>
      <c r="B303" s="28"/>
      <c r="C303" s="28" t="s">
        <v>730</v>
      </c>
      <c r="D303" s="28"/>
    </row>
    <row r="304" spans="1:4" x14ac:dyDescent="0.25">
      <c r="A304" s="28" t="s">
        <v>738</v>
      </c>
      <c r="B304" s="28"/>
      <c r="C304" s="28" t="s">
        <v>730</v>
      </c>
      <c r="D304" s="28"/>
    </row>
    <row r="305" spans="1:4" x14ac:dyDescent="0.25">
      <c r="A305" s="28" t="s">
        <v>739</v>
      </c>
      <c r="B305" s="28"/>
      <c r="C305" s="28" t="s">
        <v>730</v>
      </c>
      <c r="D305" s="28"/>
    </row>
    <row r="306" spans="1:4" x14ac:dyDescent="0.25">
      <c r="A306" s="28" t="s">
        <v>740</v>
      </c>
      <c r="B306" s="28"/>
      <c r="C306" s="28" t="s">
        <v>730</v>
      </c>
      <c r="D306" s="28"/>
    </row>
    <row r="307" spans="1:4" x14ac:dyDescent="0.25">
      <c r="A307" s="28" t="s">
        <v>741</v>
      </c>
      <c r="B307" s="28"/>
      <c r="C307" s="28" t="s">
        <v>730</v>
      </c>
      <c r="D307" s="28"/>
    </row>
    <row r="308" spans="1:4" x14ac:dyDescent="0.25">
      <c r="A308" s="28" t="s">
        <v>742</v>
      </c>
      <c r="B308" s="28"/>
      <c r="C308" s="28" t="s">
        <v>730</v>
      </c>
      <c r="D308" s="28"/>
    </row>
    <row r="309" spans="1:4" x14ac:dyDescent="0.25">
      <c r="A309" s="28" t="s">
        <v>743</v>
      </c>
      <c r="B309" s="28"/>
      <c r="C309" s="28" t="s">
        <v>674</v>
      </c>
      <c r="D309" s="28"/>
    </row>
    <row r="310" spans="1:4" x14ac:dyDescent="0.25">
      <c r="A310" s="28" t="s">
        <v>744</v>
      </c>
      <c r="B310" s="28"/>
      <c r="C310" s="28" t="s">
        <v>674</v>
      </c>
      <c r="D310" s="28"/>
    </row>
    <row r="311" spans="1:4" x14ac:dyDescent="0.25">
      <c r="A311" s="28" t="s">
        <v>745</v>
      </c>
      <c r="B311" s="28"/>
      <c r="C311" s="28" t="s">
        <v>667</v>
      </c>
      <c r="D311" s="28"/>
    </row>
    <row r="312" spans="1:4" x14ac:dyDescent="0.25">
      <c r="A312" s="28" t="s">
        <v>745</v>
      </c>
      <c r="B312" s="28"/>
      <c r="C312" s="28" t="s">
        <v>746</v>
      </c>
      <c r="D312" s="28"/>
    </row>
    <row r="313" spans="1:4" x14ac:dyDescent="0.25">
      <c r="A313" s="28" t="s">
        <v>745</v>
      </c>
      <c r="B313" s="28"/>
      <c r="C313" s="28" t="s">
        <v>668</v>
      </c>
      <c r="D313" s="28"/>
    </row>
    <row r="314" spans="1:4" x14ac:dyDescent="0.25">
      <c r="A314" s="28" t="s">
        <v>745</v>
      </c>
      <c r="B314" s="28"/>
      <c r="C314" s="28" t="s">
        <v>668</v>
      </c>
      <c r="D314" s="28"/>
    </row>
    <row r="315" spans="1:4" x14ac:dyDescent="0.25">
      <c r="A315" s="28" t="s">
        <v>745</v>
      </c>
      <c r="B315" s="28"/>
      <c r="C315" s="28" t="s">
        <v>594</v>
      </c>
      <c r="D315" s="28"/>
    </row>
    <row r="316" spans="1:4" x14ac:dyDescent="0.25">
      <c r="A316" s="28" t="s">
        <v>747</v>
      </c>
      <c r="B316" s="28"/>
      <c r="C316" s="28" t="s">
        <v>672</v>
      </c>
      <c r="D316" s="28"/>
    </row>
    <row r="317" spans="1:4" x14ac:dyDescent="0.25">
      <c r="A317" s="28" t="s">
        <v>748</v>
      </c>
      <c r="B317" s="28"/>
      <c r="C317" s="28" t="s">
        <v>674</v>
      </c>
      <c r="D317" s="28"/>
    </row>
    <row r="318" spans="1:4" x14ac:dyDescent="0.25">
      <c r="A318" s="28" t="s">
        <v>749</v>
      </c>
      <c r="B318" s="28"/>
      <c r="C318" s="28" t="s">
        <v>674</v>
      </c>
      <c r="D318" s="28"/>
    </row>
    <row r="319" spans="1:4" x14ac:dyDescent="0.25">
      <c r="A319" s="28" t="s">
        <v>749</v>
      </c>
      <c r="B319" s="28"/>
      <c r="C319" s="28" t="s">
        <v>689</v>
      </c>
      <c r="D319" s="28"/>
    </row>
    <row r="320" spans="1:4" x14ac:dyDescent="0.25">
      <c r="A320" s="28" t="s">
        <v>749</v>
      </c>
      <c r="B320" s="28"/>
      <c r="C320" s="28" t="s">
        <v>689</v>
      </c>
      <c r="D320" s="28"/>
    </row>
    <row r="321" spans="1:4" x14ac:dyDescent="0.25">
      <c r="A321" s="28" t="s">
        <v>750</v>
      </c>
      <c r="B321" s="28"/>
      <c r="C321" s="28" t="s">
        <v>674</v>
      </c>
      <c r="D321" s="28"/>
    </row>
    <row r="322" spans="1:4" x14ac:dyDescent="0.25">
      <c r="A322" s="28" t="s">
        <v>751</v>
      </c>
      <c r="B322" s="28"/>
      <c r="C322" s="28" t="s">
        <v>674</v>
      </c>
      <c r="D322" s="28"/>
    </row>
    <row r="323" spans="1:4" x14ac:dyDescent="0.25">
      <c r="A323" s="28" t="s">
        <v>751</v>
      </c>
      <c r="B323" s="28"/>
      <c r="C323" s="28" t="s">
        <v>689</v>
      </c>
      <c r="D323" s="28"/>
    </row>
    <row r="324" spans="1:4" x14ac:dyDescent="0.25">
      <c r="A324" s="28" t="s">
        <v>752</v>
      </c>
      <c r="B324" s="28"/>
      <c r="C324" s="28" t="s">
        <v>674</v>
      </c>
      <c r="D324" s="28"/>
    </row>
    <row r="325" spans="1:4" x14ac:dyDescent="0.25">
      <c r="A325" s="28" t="s">
        <v>753</v>
      </c>
      <c r="B325" s="28"/>
      <c r="C325" s="28" t="s">
        <v>674</v>
      </c>
      <c r="D325" s="28"/>
    </row>
    <row r="326" spans="1:4" x14ac:dyDescent="0.25">
      <c r="A326" s="28" t="s">
        <v>754</v>
      </c>
      <c r="B326" s="28"/>
      <c r="C326" s="28" t="s">
        <v>674</v>
      </c>
      <c r="D326" s="28"/>
    </row>
    <row r="327" spans="1:4" x14ac:dyDescent="0.25">
      <c r="A327" s="28" t="s">
        <v>755</v>
      </c>
      <c r="B327" s="28"/>
      <c r="C327" s="28" t="s">
        <v>674</v>
      </c>
      <c r="D327" s="28"/>
    </row>
    <row r="328" spans="1:4" x14ac:dyDescent="0.25">
      <c r="A328" s="28" t="s">
        <v>756</v>
      </c>
      <c r="B328" s="28"/>
      <c r="C328" s="28" t="s">
        <v>667</v>
      </c>
      <c r="D328" s="28"/>
    </row>
    <row r="329" spans="1:4" x14ac:dyDescent="0.25">
      <c r="A329" s="28" t="s">
        <v>756</v>
      </c>
      <c r="B329" s="28"/>
      <c r="C329" s="28" t="s">
        <v>757</v>
      </c>
      <c r="D329" s="28"/>
    </row>
    <row r="330" spans="1:4" x14ac:dyDescent="0.25">
      <c r="A330" s="28" t="s">
        <v>756</v>
      </c>
      <c r="B330" s="28"/>
      <c r="C330" s="28" t="s">
        <v>668</v>
      </c>
      <c r="D330" s="28"/>
    </row>
    <row r="331" spans="1:4" x14ac:dyDescent="0.25">
      <c r="A331" s="28" t="s">
        <v>756</v>
      </c>
      <c r="B331" s="28"/>
      <c r="C331" s="28" t="s">
        <v>758</v>
      </c>
      <c r="D331" s="28"/>
    </row>
    <row r="332" spans="1:4" x14ac:dyDescent="0.25">
      <c r="A332" s="28" t="s">
        <v>759</v>
      </c>
      <c r="B332" s="28"/>
      <c r="C332" s="28" t="s">
        <v>760</v>
      </c>
      <c r="D332" s="28"/>
    </row>
    <row r="333" spans="1:4" x14ac:dyDescent="0.25">
      <c r="A333" s="28" t="s">
        <v>759</v>
      </c>
      <c r="B333" s="28"/>
      <c r="C333" s="28" t="s">
        <v>761</v>
      </c>
      <c r="D333" s="28"/>
    </row>
    <row r="334" spans="1:4" x14ac:dyDescent="0.25">
      <c r="A334" s="28" t="s">
        <v>762</v>
      </c>
      <c r="B334" s="28"/>
      <c r="C334" s="28" t="s">
        <v>761</v>
      </c>
      <c r="D334" s="28"/>
    </row>
    <row r="335" spans="1:4" x14ac:dyDescent="0.25">
      <c r="A335" s="28" t="s">
        <v>763</v>
      </c>
      <c r="B335" s="28"/>
      <c r="C335" s="28" t="s">
        <v>672</v>
      </c>
      <c r="D335" s="28"/>
    </row>
    <row r="336" spans="1:4" x14ac:dyDescent="0.25">
      <c r="A336" s="28" t="s">
        <v>764</v>
      </c>
      <c r="B336" s="28"/>
      <c r="C336" s="28" t="s">
        <v>765</v>
      </c>
      <c r="D336" s="28"/>
    </row>
    <row r="337" spans="1:4" x14ac:dyDescent="0.25">
      <c r="A337" s="28" t="s">
        <v>766</v>
      </c>
      <c r="B337" s="28"/>
      <c r="C337" s="28" t="s">
        <v>674</v>
      </c>
      <c r="D337" s="28"/>
    </row>
    <row r="338" spans="1:4" x14ac:dyDescent="0.25">
      <c r="A338" s="28" t="s">
        <v>767</v>
      </c>
      <c r="B338" s="28"/>
      <c r="C338" s="28" t="s">
        <v>768</v>
      </c>
      <c r="D338" s="28"/>
    </row>
    <row r="339" spans="1:4" x14ac:dyDescent="0.25">
      <c r="A339" s="28" t="s">
        <v>767</v>
      </c>
      <c r="B339" s="28"/>
      <c r="C339" s="28" t="s">
        <v>667</v>
      </c>
      <c r="D339" s="28"/>
    </row>
    <row r="340" spans="1:4" x14ac:dyDescent="0.25">
      <c r="A340" s="28" t="s">
        <v>767</v>
      </c>
      <c r="B340" s="28"/>
      <c r="C340" s="28" t="s">
        <v>668</v>
      </c>
      <c r="D340" s="28"/>
    </row>
    <row r="341" spans="1:4" x14ac:dyDescent="0.25">
      <c r="A341" s="28" t="s">
        <v>769</v>
      </c>
      <c r="B341" s="28"/>
      <c r="C341" s="28" t="s">
        <v>670</v>
      </c>
      <c r="D341" s="28"/>
    </row>
    <row r="342" spans="1:4" x14ac:dyDescent="0.25">
      <c r="A342" s="28" t="s">
        <v>769</v>
      </c>
      <c r="B342" s="28"/>
      <c r="C342" s="28" t="s">
        <v>670</v>
      </c>
      <c r="D342" s="28"/>
    </row>
    <row r="343" spans="1:4" x14ac:dyDescent="0.25">
      <c r="A343" s="28" t="s">
        <v>770</v>
      </c>
      <c r="B343" s="28"/>
      <c r="C343" s="28" t="s">
        <v>672</v>
      </c>
      <c r="D343" s="28"/>
    </row>
    <row r="344" spans="1:4" x14ac:dyDescent="0.25">
      <c r="A344" s="28" t="s">
        <v>771</v>
      </c>
      <c r="B344" s="28"/>
      <c r="C344" s="28" t="s">
        <v>689</v>
      </c>
      <c r="D344" s="28"/>
    </row>
    <row r="345" spans="1:4" x14ac:dyDescent="0.25">
      <c r="A345" s="28" t="s">
        <v>772</v>
      </c>
      <c r="B345" s="28"/>
      <c r="C345" s="28" t="s">
        <v>773</v>
      </c>
      <c r="D345" s="28"/>
    </row>
    <row r="346" spans="1:4" x14ac:dyDescent="0.25">
      <c r="A346" s="28" t="s">
        <v>774</v>
      </c>
      <c r="B346" s="28"/>
      <c r="C346" s="28" t="s">
        <v>674</v>
      </c>
      <c r="D346" s="28"/>
    </row>
    <row r="347" spans="1:4" x14ac:dyDescent="0.25">
      <c r="A347" s="28" t="s">
        <v>775</v>
      </c>
      <c r="B347" s="28"/>
      <c r="C347" s="28" t="s">
        <v>674</v>
      </c>
      <c r="D347" s="28"/>
    </row>
    <row r="348" spans="1:4" x14ac:dyDescent="0.25">
      <c r="A348" s="28" t="s">
        <v>776</v>
      </c>
      <c r="B348" s="28"/>
      <c r="C348" s="28" t="s">
        <v>674</v>
      </c>
      <c r="D348" s="28"/>
    </row>
    <row r="349" spans="1:4" x14ac:dyDescent="0.25">
      <c r="A349" s="28" t="s">
        <v>776</v>
      </c>
      <c r="B349" s="28"/>
      <c r="C349" s="28" t="s">
        <v>689</v>
      </c>
      <c r="D349" s="28"/>
    </row>
    <row r="350" spans="1:4" x14ac:dyDescent="0.25">
      <c r="A350" s="28" t="s">
        <v>777</v>
      </c>
      <c r="B350" s="28"/>
      <c r="C350" s="28" t="s">
        <v>674</v>
      </c>
      <c r="D350" s="28"/>
    </row>
    <row r="351" spans="1:4" x14ac:dyDescent="0.25">
      <c r="A351" s="28" t="s">
        <v>777</v>
      </c>
      <c r="B351" s="28"/>
      <c r="C351" s="28" t="s">
        <v>689</v>
      </c>
      <c r="D351" s="28"/>
    </row>
    <row r="352" spans="1:4" x14ac:dyDescent="0.25">
      <c r="A352" s="28" t="s">
        <v>778</v>
      </c>
      <c r="B352" s="28"/>
      <c r="C352" s="28" t="s">
        <v>674</v>
      </c>
      <c r="D352" s="28"/>
    </row>
    <row r="353" spans="1:4" x14ac:dyDescent="0.25">
      <c r="A353" s="28" t="s">
        <v>779</v>
      </c>
      <c r="B353" s="28"/>
      <c r="C353" s="28" t="s">
        <v>780</v>
      </c>
      <c r="D353" s="28"/>
    </row>
    <row r="354" spans="1:4" x14ac:dyDescent="0.25">
      <c r="A354" s="28" t="s">
        <v>779</v>
      </c>
      <c r="B354" s="28"/>
      <c r="C354" s="28" t="s">
        <v>781</v>
      </c>
      <c r="D354" s="28"/>
    </row>
    <row r="355" spans="1:4" x14ac:dyDescent="0.25">
      <c r="A355" s="28" t="s">
        <v>779</v>
      </c>
      <c r="B355" s="28"/>
      <c r="C355" s="28" t="s">
        <v>782</v>
      </c>
      <c r="D355" s="28"/>
    </row>
    <row r="356" spans="1:4" x14ac:dyDescent="0.25">
      <c r="A356" s="28" t="s">
        <v>779</v>
      </c>
      <c r="B356" s="28"/>
      <c r="C356" s="28" t="s">
        <v>783</v>
      </c>
      <c r="D356" s="28"/>
    </row>
    <row r="357" spans="1:4" x14ac:dyDescent="0.25">
      <c r="A357" s="28" t="s">
        <v>784</v>
      </c>
      <c r="B357" s="28"/>
      <c r="C357" s="28" t="s">
        <v>785</v>
      </c>
      <c r="D357" s="28"/>
    </row>
    <row r="358" spans="1:4" x14ac:dyDescent="0.25">
      <c r="A358" s="28" t="s">
        <v>786</v>
      </c>
      <c r="B358" s="28"/>
      <c r="C358" s="28" t="s">
        <v>674</v>
      </c>
      <c r="D358" s="28"/>
    </row>
    <row r="359" spans="1:4" x14ac:dyDescent="0.25">
      <c r="A359" s="28" t="s">
        <v>786</v>
      </c>
      <c r="B359" s="28"/>
      <c r="C359" s="28" t="s">
        <v>787</v>
      </c>
      <c r="D359" s="28"/>
    </row>
    <row r="360" spans="1:4" x14ac:dyDescent="0.25">
      <c r="A360" s="28" t="s">
        <v>786</v>
      </c>
      <c r="B360" s="28"/>
      <c r="C360" s="28" t="s">
        <v>689</v>
      </c>
      <c r="D360" s="28"/>
    </row>
    <row r="361" spans="1:4" x14ac:dyDescent="0.25">
      <c r="A361" s="28" t="s">
        <v>786</v>
      </c>
      <c r="B361" s="28"/>
      <c r="C361" s="28" t="s">
        <v>788</v>
      </c>
      <c r="D361" s="28"/>
    </row>
    <row r="362" spans="1:4" x14ac:dyDescent="0.25">
      <c r="A362" s="28" t="s">
        <v>789</v>
      </c>
      <c r="B362" s="28"/>
      <c r="C362" s="28" t="s">
        <v>787</v>
      </c>
      <c r="D362" s="28"/>
    </row>
    <row r="363" spans="1:4" x14ac:dyDescent="0.25">
      <c r="A363" s="28" t="s">
        <v>789</v>
      </c>
      <c r="B363" s="28"/>
      <c r="C363" s="28" t="s">
        <v>674</v>
      </c>
      <c r="D363" s="28"/>
    </row>
    <row r="364" spans="1:4" x14ac:dyDescent="0.25">
      <c r="A364" s="28" t="s">
        <v>790</v>
      </c>
      <c r="B364" s="28"/>
      <c r="C364" s="28" t="s">
        <v>791</v>
      </c>
      <c r="D364" s="28"/>
    </row>
    <row r="365" spans="1:4" x14ac:dyDescent="0.25">
      <c r="A365" s="28" t="s">
        <v>792</v>
      </c>
      <c r="B365" s="28"/>
      <c r="C365" s="28" t="s">
        <v>793</v>
      </c>
      <c r="D365" s="28"/>
    </row>
    <row r="366" spans="1:4" x14ac:dyDescent="0.25">
      <c r="A366" s="28" t="s">
        <v>794</v>
      </c>
      <c r="B366" s="28"/>
      <c r="C366" s="28" t="s">
        <v>795</v>
      </c>
      <c r="D366" s="28"/>
    </row>
    <row r="367" spans="1:4" x14ac:dyDescent="0.25">
      <c r="A367" s="28" t="s">
        <v>794</v>
      </c>
      <c r="B367" s="28"/>
      <c r="C367" s="28" t="s">
        <v>796</v>
      </c>
      <c r="D367" s="28"/>
    </row>
    <row r="368" spans="1:4" x14ac:dyDescent="0.25">
      <c r="A368" s="28" t="s">
        <v>797</v>
      </c>
      <c r="B368" s="28"/>
      <c r="C368" s="28" t="s">
        <v>798</v>
      </c>
      <c r="D368" s="28"/>
    </row>
    <row r="369" spans="1:4" x14ac:dyDescent="0.25">
      <c r="A369" s="28" t="s">
        <v>799</v>
      </c>
      <c r="B369" s="28"/>
      <c r="C369" s="28" t="s">
        <v>800</v>
      </c>
      <c r="D369" s="28"/>
    </row>
    <row r="370" spans="1:4" x14ac:dyDescent="0.25">
      <c r="A370" s="28" t="s">
        <v>801</v>
      </c>
      <c r="B370" s="28"/>
      <c r="C370" s="28" t="s">
        <v>802</v>
      </c>
      <c r="D370" s="28"/>
    </row>
    <row r="371" spans="1:4" x14ac:dyDescent="0.25">
      <c r="A371" s="28" t="s">
        <v>803</v>
      </c>
      <c r="B371" s="28"/>
      <c r="C371" s="28" t="s">
        <v>802</v>
      </c>
      <c r="D371" s="28"/>
    </row>
    <row r="372" spans="1:4" x14ac:dyDescent="0.25">
      <c r="A372" s="28" t="s">
        <v>804</v>
      </c>
      <c r="B372" s="28"/>
      <c r="C372" s="28" t="s">
        <v>802</v>
      </c>
      <c r="D372" s="28"/>
    </row>
    <row r="373" spans="1:4" x14ac:dyDescent="0.25">
      <c r="A373" s="28" t="s">
        <v>805</v>
      </c>
      <c r="B373" s="28"/>
      <c r="C373" s="28" t="s">
        <v>659</v>
      </c>
      <c r="D373" s="28"/>
    </row>
    <row r="374" spans="1:4" x14ac:dyDescent="0.25">
      <c r="A374" s="28" t="s">
        <v>806</v>
      </c>
      <c r="B374" s="28"/>
      <c r="C374" s="28" t="s">
        <v>674</v>
      </c>
      <c r="D374" s="28"/>
    </row>
    <row r="375" spans="1:4" x14ac:dyDescent="0.25">
      <c r="A375" s="28" t="s">
        <v>807</v>
      </c>
      <c r="B375" s="28"/>
      <c r="C375" s="28" t="s">
        <v>674</v>
      </c>
      <c r="D375" s="28"/>
    </row>
    <row r="376" spans="1:4" x14ac:dyDescent="0.25">
      <c r="A376" s="28" t="s">
        <v>808</v>
      </c>
      <c r="B376" s="28"/>
      <c r="C376" s="28" t="s">
        <v>809</v>
      </c>
      <c r="D376" s="28"/>
    </row>
    <row r="377" spans="1:4" x14ac:dyDescent="0.25">
      <c r="A377" s="28" t="s">
        <v>810</v>
      </c>
      <c r="B377" s="28"/>
      <c r="C377" s="28" t="s">
        <v>809</v>
      </c>
      <c r="D377" s="28"/>
    </row>
    <row r="378" spans="1:4" x14ac:dyDescent="0.25">
      <c r="A378" s="28" t="s">
        <v>811</v>
      </c>
      <c r="B378" s="28"/>
      <c r="C378" s="28" t="s">
        <v>809</v>
      </c>
      <c r="D378" s="28"/>
    </row>
    <row r="379" spans="1:4" x14ac:dyDescent="0.25">
      <c r="A379" s="28" t="s">
        <v>812</v>
      </c>
      <c r="B379" s="28"/>
      <c r="C379" s="28" t="s">
        <v>813</v>
      </c>
      <c r="D379" s="28"/>
    </row>
    <row r="380" spans="1:4" x14ac:dyDescent="0.25">
      <c r="A380" s="28" t="s">
        <v>814</v>
      </c>
      <c r="B380" s="28"/>
      <c r="C380" s="28" t="s">
        <v>813</v>
      </c>
      <c r="D380" s="28"/>
    </row>
    <row r="381" spans="1:4" x14ac:dyDescent="0.25">
      <c r="A381" s="28" t="s">
        <v>815</v>
      </c>
      <c r="B381" s="28"/>
      <c r="C381" s="28" t="s">
        <v>816</v>
      </c>
      <c r="D381" s="28"/>
    </row>
    <row r="382" spans="1:4" x14ac:dyDescent="0.25">
      <c r="A382" s="28" t="s">
        <v>817</v>
      </c>
      <c r="B382" s="28"/>
      <c r="C382" s="28" t="s">
        <v>818</v>
      </c>
      <c r="D382" s="28"/>
    </row>
    <row r="383" spans="1:4" x14ac:dyDescent="0.25">
      <c r="A383" s="28" t="s">
        <v>817</v>
      </c>
      <c r="B383" s="28"/>
      <c r="C383" s="28" t="s">
        <v>819</v>
      </c>
      <c r="D383" s="28"/>
    </row>
    <row r="384" spans="1:4" x14ac:dyDescent="0.25">
      <c r="A384" s="28" t="s">
        <v>820</v>
      </c>
      <c r="B384" s="28"/>
      <c r="C384" s="28" t="s">
        <v>821</v>
      </c>
      <c r="D384" s="28"/>
    </row>
    <row r="385" spans="1:4" x14ac:dyDescent="0.25">
      <c r="A385" s="28" t="s">
        <v>820</v>
      </c>
      <c r="B385" s="28"/>
      <c r="C385" s="28" t="s">
        <v>819</v>
      </c>
      <c r="D385" s="28"/>
    </row>
    <row r="386" spans="1:4" x14ac:dyDescent="0.25">
      <c r="A386" s="28" t="s">
        <v>822</v>
      </c>
      <c r="B386" s="28"/>
      <c r="C386" s="28" t="s">
        <v>823</v>
      </c>
      <c r="D386" s="28"/>
    </row>
    <row r="387" spans="1:4" x14ac:dyDescent="0.25">
      <c r="A387" s="28" t="s">
        <v>824</v>
      </c>
      <c r="B387" s="28"/>
      <c r="C387" s="28" t="s">
        <v>825</v>
      </c>
      <c r="D387" s="28"/>
    </row>
    <row r="388" spans="1:4" x14ac:dyDescent="0.25">
      <c r="A388" s="28" t="s">
        <v>826</v>
      </c>
      <c r="B388" s="28"/>
      <c r="C388" s="28" t="s">
        <v>827</v>
      </c>
      <c r="D388" s="28"/>
    </row>
    <row r="389" spans="1:4" x14ac:dyDescent="0.25">
      <c r="A389" s="28" t="s">
        <v>828</v>
      </c>
      <c r="B389" s="28"/>
      <c r="C389" s="28" t="s">
        <v>829</v>
      </c>
      <c r="D389" s="28"/>
    </row>
    <row r="390" spans="1:4" x14ac:dyDescent="0.25">
      <c r="A390" s="28" t="s">
        <v>828</v>
      </c>
      <c r="B390" s="28"/>
      <c r="C390" s="28" t="s">
        <v>830</v>
      </c>
      <c r="D390" s="28"/>
    </row>
    <row r="391" spans="1:4" x14ac:dyDescent="0.25">
      <c r="A391" s="28" t="s">
        <v>831</v>
      </c>
      <c r="B391" s="28"/>
      <c r="C391" s="28" t="s">
        <v>832</v>
      </c>
      <c r="D391" s="28"/>
    </row>
    <row r="392" spans="1:4" x14ac:dyDescent="0.25">
      <c r="A392" s="28" t="s">
        <v>831</v>
      </c>
      <c r="B392" s="28"/>
      <c r="C392" s="28" t="s">
        <v>832</v>
      </c>
      <c r="D392" s="28"/>
    </row>
    <row r="393" spans="1:4" x14ac:dyDescent="0.25">
      <c r="A393" s="28" t="s">
        <v>833</v>
      </c>
      <c r="B393" s="28"/>
      <c r="C393" s="28" t="s">
        <v>834</v>
      </c>
      <c r="D393" s="28"/>
    </row>
    <row r="394" spans="1:4" x14ac:dyDescent="0.25">
      <c r="A394" s="28" t="s">
        <v>835</v>
      </c>
      <c r="B394" s="28"/>
      <c r="C394" s="28" t="s">
        <v>827</v>
      </c>
      <c r="D394" s="28"/>
    </row>
    <row r="395" spans="1:4" x14ac:dyDescent="0.25">
      <c r="A395" s="28" t="s">
        <v>836</v>
      </c>
      <c r="B395" s="28"/>
      <c r="C395" s="28" t="s">
        <v>837</v>
      </c>
      <c r="D395" s="28"/>
    </row>
    <row r="396" spans="1:4" x14ac:dyDescent="0.25">
      <c r="A396" s="28" t="s">
        <v>836</v>
      </c>
      <c r="B396" s="28"/>
      <c r="C396" s="28" t="s">
        <v>837</v>
      </c>
      <c r="D396" s="28"/>
    </row>
    <row r="397" spans="1:4" x14ac:dyDescent="0.25">
      <c r="A397" s="28" t="s">
        <v>836</v>
      </c>
      <c r="B397" s="28"/>
      <c r="C397" s="28" t="s">
        <v>837</v>
      </c>
      <c r="D397" s="28"/>
    </row>
    <row r="398" spans="1:4" x14ac:dyDescent="0.25">
      <c r="A398" s="28" t="s">
        <v>836</v>
      </c>
      <c r="B398" s="28"/>
      <c r="C398" s="28" t="s">
        <v>837</v>
      </c>
      <c r="D398" s="28"/>
    </row>
    <row r="399" spans="1:4" x14ac:dyDescent="0.25">
      <c r="A399" s="28" t="s">
        <v>836</v>
      </c>
      <c r="B399" s="28"/>
      <c r="C399" s="28" t="s">
        <v>837</v>
      </c>
      <c r="D399" s="28"/>
    </row>
    <row r="400" spans="1:4" x14ac:dyDescent="0.25">
      <c r="A400" s="28" t="s">
        <v>836</v>
      </c>
      <c r="B400" s="28"/>
      <c r="C400" s="28" t="s">
        <v>837</v>
      </c>
      <c r="D400" s="28"/>
    </row>
    <row r="401" spans="1:4" x14ac:dyDescent="0.25">
      <c r="A401" s="28" t="s">
        <v>836</v>
      </c>
      <c r="B401" s="28"/>
      <c r="C401" s="28" t="s">
        <v>837</v>
      </c>
      <c r="D401" s="28"/>
    </row>
    <row r="402" spans="1:4" x14ac:dyDescent="0.25">
      <c r="A402" s="28" t="s">
        <v>836</v>
      </c>
      <c r="B402" s="28"/>
      <c r="C402" s="28" t="s">
        <v>837</v>
      </c>
      <c r="D402" s="28"/>
    </row>
    <row r="403" spans="1:4" x14ac:dyDescent="0.25">
      <c r="A403" s="28" t="s">
        <v>836</v>
      </c>
      <c r="B403" s="28"/>
      <c r="C403" s="28" t="s">
        <v>837</v>
      </c>
      <c r="D403" s="28"/>
    </row>
    <row r="404" spans="1:4" x14ac:dyDescent="0.25">
      <c r="A404" s="28" t="s">
        <v>836</v>
      </c>
      <c r="B404" s="28"/>
      <c r="C404" s="28" t="s">
        <v>838</v>
      </c>
      <c r="D404" s="28"/>
    </row>
    <row r="405" spans="1:4" x14ac:dyDescent="0.25">
      <c r="A405" s="28" t="s">
        <v>836</v>
      </c>
      <c r="B405" s="28"/>
      <c r="C405" s="28" t="s">
        <v>839</v>
      </c>
      <c r="D405" s="28"/>
    </row>
    <row r="406" spans="1:4" x14ac:dyDescent="0.25">
      <c r="A406" s="28" t="s">
        <v>836</v>
      </c>
      <c r="B406" s="28"/>
      <c r="C406" s="28" t="s">
        <v>840</v>
      </c>
      <c r="D406" s="28"/>
    </row>
    <row r="407" spans="1:4" x14ac:dyDescent="0.25">
      <c r="A407" s="28" t="s">
        <v>836</v>
      </c>
      <c r="B407" s="28"/>
      <c r="C407" s="28" t="s">
        <v>841</v>
      </c>
      <c r="D407" s="28"/>
    </row>
    <row r="408" spans="1:4" x14ac:dyDescent="0.25">
      <c r="A408" s="28" t="s">
        <v>836</v>
      </c>
      <c r="B408" s="28"/>
      <c r="C408" s="28" t="s">
        <v>842</v>
      </c>
      <c r="D408" s="28"/>
    </row>
    <row r="409" spans="1:4" x14ac:dyDescent="0.25">
      <c r="A409" s="28" t="s">
        <v>836</v>
      </c>
      <c r="B409" s="28"/>
      <c r="C409" s="28" t="s">
        <v>843</v>
      </c>
      <c r="D409" s="28"/>
    </row>
    <row r="410" spans="1:4" x14ac:dyDescent="0.25">
      <c r="A410" s="28" t="s">
        <v>836</v>
      </c>
      <c r="B410" s="28"/>
      <c r="C410" s="28" t="s">
        <v>844</v>
      </c>
      <c r="D410" s="28"/>
    </row>
    <row r="411" spans="1:4" x14ac:dyDescent="0.25">
      <c r="A411" s="28" t="s">
        <v>836</v>
      </c>
      <c r="B411" s="28"/>
      <c r="C411" s="28" t="s">
        <v>845</v>
      </c>
      <c r="D411" s="28"/>
    </row>
    <row r="412" spans="1:4" x14ac:dyDescent="0.25">
      <c r="A412" s="28" t="s">
        <v>836</v>
      </c>
      <c r="B412" s="28"/>
      <c r="C412" s="28" t="s">
        <v>846</v>
      </c>
      <c r="D412" s="28"/>
    </row>
    <row r="413" spans="1:4" x14ac:dyDescent="0.25">
      <c r="A413" s="28" t="s">
        <v>836</v>
      </c>
      <c r="B413" s="28"/>
      <c r="C413" s="28" t="s">
        <v>847</v>
      </c>
      <c r="D413" s="28"/>
    </row>
    <row r="414" spans="1:4" x14ac:dyDescent="0.25">
      <c r="A414" s="28" t="s">
        <v>836</v>
      </c>
      <c r="B414" s="28"/>
      <c r="C414" s="28" t="s">
        <v>845</v>
      </c>
      <c r="D414" s="28"/>
    </row>
    <row r="415" spans="1:4" x14ac:dyDescent="0.25">
      <c r="A415" s="28" t="s">
        <v>836</v>
      </c>
      <c r="B415" s="28"/>
      <c r="C415" s="28" t="s">
        <v>840</v>
      </c>
      <c r="D415" s="28"/>
    </row>
    <row r="416" spans="1:4" x14ac:dyDescent="0.25">
      <c r="A416" s="28" t="s">
        <v>836</v>
      </c>
      <c r="B416" s="28"/>
      <c r="C416" s="28" t="s">
        <v>840</v>
      </c>
      <c r="D416" s="28"/>
    </row>
    <row r="417" spans="1:4" x14ac:dyDescent="0.25">
      <c r="A417" s="28" t="s">
        <v>836</v>
      </c>
      <c r="B417" s="28"/>
      <c r="C417" s="28" t="s">
        <v>842</v>
      </c>
      <c r="D417" s="28"/>
    </row>
    <row r="418" spans="1:4" x14ac:dyDescent="0.25">
      <c r="A418" s="28" t="s">
        <v>836</v>
      </c>
      <c r="B418" s="28"/>
      <c r="C418" s="28" t="s">
        <v>844</v>
      </c>
      <c r="D418" s="28"/>
    </row>
    <row r="419" spans="1:4" x14ac:dyDescent="0.25">
      <c r="A419" s="28" t="s">
        <v>848</v>
      </c>
      <c r="B419" s="28"/>
      <c r="C419" s="28" t="s">
        <v>849</v>
      </c>
      <c r="D419" s="28"/>
    </row>
    <row r="420" spans="1:4" x14ac:dyDescent="0.25">
      <c r="A420" s="28" t="s">
        <v>850</v>
      </c>
      <c r="B420" s="28"/>
      <c r="C420" s="28" t="s">
        <v>851</v>
      </c>
      <c r="D420" s="28"/>
    </row>
    <row r="421" spans="1:4" x14ac:dyDescent="0.25">
      <c r="A421" s="28" t="s">
        <v>852</v>
      </c>
      <c r="B421" s="28"/>
      <c r="C421" s="28" t="s">
        <v>853</v>
      </c>
      <c r="D421" s="28"/>
    </row>
    <row r="422" spans="1:4" x14ac:dyDescent="0.25">
      <c r="A422" s="28" t="s">
        <v>852</v>
      </c>
      <c r="B422" s="28"/>
      <c r="C422" s="28" t="s">
        <v>853</v>
      </c>
      <c r="D422" s="28"/>
    </row>
    <row r="423" spans="1:4" x14ac:dyDescent="0.25">
      <c r="A423" s="28" t="s">
        <v>854</v>
      </c>
      <c r="B423" s="28"/>
      <c r="C423" s="28" t="s">
        <v>855</v>
      </c>
      <c r="D423" s="28"/>
    </row>
    <row r="424" spans="1:4" x14ac:dyDescent="0.25">
      <c r="A424" s="28" t="s">
        <v>856</v>
      </c>
      <c r="B424" s="28"/>
      <c r="C424" s="28" t="s">
        <v>704</v>
      </c>
      <c r="D424" s="28"/>
    </row>
    <row r="425" spans="1:4" x14ac:dyDescent="0.25">
      <c r="A425" s="28" t="s">
        <v>857</v>
      </c>
      <c r="B425" s="28"/>
      <c r="C425" s="28" t="s">
        <v>793</v>
      </c>
      <c r="D425" s="28"/>
    </row>
    <row r="426" spans="1:4" x14ac:dyDescent="0.25">
      <c r="A426" s="28" t="s">
        <v>858</v>
      </c>
      <c r="B426" s="28"/>
      <c r="C426" s="28" t="s">
        <v>704</v>
      </c>
      <c r="D426" s="28"/>
    </row>
    <row r="427" spans="1:4" x14ac:dyDescent="0.25">
      <c r="A427" s="28" t="s">
        <v>859</v>
      </c>
      <c r="B427" s="28"/>
      <c r="C427" s="28" t="s">
        <v>704</v>
      </c>
      <c r="D427" s="28"/>
    </row>
    <row r="428" spans="1:4" x14ac:dyDescent="0.25">
      <c r="A428" s="28" t="s">
        <v>860</v>
      </c>
      <c r="B428" s="28"/>
      <c r="C428" s="28" t="s">
        <v>704</v>
      </c>
      <c r="D428" s="28"/>
    </row>
    <row r="429" spans="1:4" x14ac:dyDescent="0.25">
      <c r="A429" s="28" t="s">
        <v>861</v>
      </c>
      <c r="B429" s="28"/>
      <c r="C429" s="28" t="s">
        <v>704</v>
      </c>
      <c r="D429" s="28"/>
    </row>
    <row r="430" spans="1:4" x14ac:dyDescent="0.25">
      <c r="A430" s="28" t="s">
        <v>862</v>
      </c>
      <c r="B430" s="28"/>
      <c r="C430" s="28" t="s">
        <v>704</v>
      </c>
      <c r="D430" s="28"/>
    </row>
    <row r="431" spans="1:4" x14ac:dyDescent="0.25">
      <c r="A431" s="28" t="s">
        <v>863</v>
      </c>
      <c r="B431" s="28"/>
      <c r="C431" s="28" t="s">
        <v>800</v>
      </c>
      <c r="D431" s="28"/>
    </row>
    <row r="432" spans="1:4" x14ac:dyDescent="0.25">
      <c r="A432" s="28" t="s">
        <v>864</v>
      </c>
      <c r="B432" s="28"/>
      <c r="C432" s="28" t="s">
        <v>800</v>
      </c>
      <c r="D432" s="28"/>
    </row>
    <row r="433" spans="1:4" x14ac:dyDescent="0.25">
      <c r="A433" s="28" t="s">
        <v>865</v>
      </c>
      <c r="B433" s="28"/>
      <c r="C433" s="28" t="s">
        <v>800</v>
      </c>
      <c r="D433" s="28"/>
    </row>
    <row r="434" spans="1:4" x14ac:dyDescent="0.25">
      <c r="A434" s="28" t="s">
        <v>866</v>
      </c>
      <c r="B434" s="28"/>
      <c r="C434" s="28" t="s">
        <v>704</v>
      </c>
      <c r="D434" s="28"/>
    </row>
    <row r="435" spans="1:4" x14ac:dyDescent="0.25">
      <c r="A435" s="28" t="s">
        <v>867</v>
      </c>
      <c r="B435" s="28"/>
      <c r="C435" s="28" t="s">
        <v>800</v>
      </c>
      <c r="D435" s="28"/>
    </row>
    <row r="436" spans="1:4" x14ac:dyDescent="0.25">
      <c r="A436" s="28" t="s">
        <v>868</v>
      </c>
      <c r="B436" s="28"/>
      <c r="C436" s="28" t="s">
        <v>800</v>
      </c>
      <c r="D436" s="28"/>
    </row>
    <row r="437" spans="1:4" x14ac:dyDescent="0.25">
      <c r="A437" s="28" t="s">
        <v>869</v>
      </c>
      <c r="B437" s="28"/>
      <c r="C437" s="28" t="s">
        <v>870</v>
      </c>
      <c r="D437" s="28"/>
    </row>
    <row r="438" spans="1:4" x14ac:dyDescent="0.25">
      <c r="A438" s="28" t="s">
        <v>871</v>
      </c>
      <c r="B438" s="28"/>
      <c r="C438" s="28" t="s">
        <v>872</v>
      </c>
      <c r="D438" s="28"/>
    </row>
    <row r="439" spans="1:4" x14ac:dyDescent="0.25">
      <c r="A439" s="28" t="s">
        <v>873</v>
      </c>
      <c r="B439" s="28"/>
      <c r="C439" s="28" t="s">
        <v>874</v>
      </c>
      <c r="D439" s="28"/>
    </row>
    <row r="440" spans="1:4" x14ac:dyDescent="0.25">
      <c r="A440" s="28" t="s">
        <v>873</v>
      </c>
      <c r="B440" s="28"/>
      <c r="C440" s="28" t="s">
        <v>875</v>
      </c>
      <c r="D440" s="28"/>
    </row>
    <row r="441" spans="1:4" x14ac:dyDescent="0.25">
      <c r="A441" s="28" t="s">
        <v>876</v>
      </c>
      <c r="B441" s="28"/>
      <c r="C441" s="28" t="s">
        <v>877</v>
      </c>
      <c r="D441" s="28"/>
    </row>
    <row r="442" spans="1:4" x14ac:dyDescent="0.25">
      <c r="A442" s="28" t="s">
        <v>878</v>
      </c>
      <c r="B442" s="28"/>
      <c r="C442" s="28" t="s">
        <v>879</v>
      </c>
      <c r="D442" s="28"/>
    </row>
    <row r="443" spans="1:4" x14ac:dyDescent="0.25">
      <c r="A443" s="28" t="s">
        <v>880</v>
      </c>
      <c r="B443" s="28"/>
      <c r="C443" s="28" t="s">
        <v>879</v>
      </c>
      <c r="D443" s="28"/>
    </row>
    <row r="444" spans="1:4" x14ac:dyDescent="0.25">
      <c r="A444" s="28" t="s">
        <v>881</v>
      </c>
      <c r="B444" s="28"/>
      <c r="C444" s="28" t="s">
        <v>879</v>
      </c>
      <c r="D444" s="28"/>
    </row>
    <row r="445" spans="1:4" x14ac:dyDescent="0.25">
      <c r="A445" s="28" t="s">
        <v>882</v>
      </c>
      <c r="B445" s="28"/>
      <c r="C445" s="28" t="s">
        <v>879</v>
      </c>
      <c r="D445" s="28"/>
    </row>
    <row r="446" spans="1:4" x14ac:dyDescent="0.25">
      <c r="A446" s="28" t="s">
        <v>883</v>
      </c>
      <c r="B446" s="28"/>
      <c r="C446" s="28" t="s">
        <v>884</v>
      </c>
      <c r="D446" s="28"/>
    </row>
    <row r="447" spans="1:4" x14ac:dyDescent="0.25">
      <c r="A447" s="28" t="s">
        <v>885</v>
      </c>
      <c r="B447" s="28"/>
      <c r="C447" s="28" t="s">
        <v>879</v>
      </c>
      <c r="D447" s="28"/>
    </row>
    <row r="448" spans="1:4" x14ac:dyDescent="0.25">
      <c r="A448" s="28" t="s">
        <v>886</v>
      </c>
      <c r="B448" s="28"/>
      <c r="C448" s="28" t="s">
        <v>879</v>
      </c>
      <c r="D448" s="28"/>
    </row>
    <row r="449" spans="1:4" x14ac:dyDescent="0.25">
      <c r="A449" s="28" t="s">
        <v>887</v>
      </c>
      <c r="B449" s="28"/>
      <c r="C449" s="28" t="s">
        <v>645</v>
      </c>
      <c r="D449" s="28"/>
    </row>
    <row r="450" spans="1:4" x14ac:dyDescent="0.25">
      <c r="A450" s="28" t="s">
        <v>888</v>
      </c>
      <c r="B450" s="28"/>
      <c r="C450" s="28" t="s">
        <v>889</v>
      </c>
      <c r="D450"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C545-15E0-4C26-8CD1-ACBBB0B09547}">
  <dimension ref="A1:Q11"/>
  <sheetViews>
    <sheetView workbookViewId="0">
      <selection activeCell="T1" sqref="T1"/>
    </sheetView>
  </sheetViews>
  <sheetFormatPr defaultRowHeight="15" x14ac:dyDescent="0.25"/>
  <sheetData>
    <row r="1" spans="1:17" ht="247.5" x14ac:dyDescent="0.25">
      <c r="A1" s="27" t="s">
        <v>933</v>
      </c>
      <c r="B1" s="27" t="s">
        <v>934</v>
      </c>
      <c r="C1" s="27" t="s">
        <v>935</v>
      </c>
      <c r="D1" s="27" t="s">
        <v>936</v>
      </c>
      <c r="E1" s="27" t="s">
        <v>937</v>
      </c>
      <c r="F1" s="27" t="s">
        <v>938</v>
      </c>
      <c r="G1" s="27" t="s">
        <v>939</v>
      </c>
      <c r="H1" s="27" t="s">
        <v>940</v>
      </c>
      <c r="I1" s="27" t="s">
        <v>941</v>
      </c>
      <c r="J1" s="27" t="s">
        <v>942</v>
      </c>
      <c r="K1" s="27" t="s">
        <v>943</v>
      </c>
      <c r="L1" s="27" t="s">
        <v>893</v>
      </c>
      <c r="M1" s="27" t="s">
        <v>944</v>
      </c>
      <c r="N1" s="27" t="s">
        <v>945</v>
      </c>
      <c r="O1" s="27" t="s">
        <v>946</v>
      </c>
      <c r="P1" s="27" t="s">
        <v>947</v>
      </c>
      <c r="Q1" s="27" t="s">
        <v>950</v>
      </c>
    </row>
    <row r="2" spans="1:17" x14ac:dyDescent="0.25">
      <c r="A2" s="28" t="s">
        <v>894</v>
      </c>
      <c r="B2" s="28" t="s">
        <v>415</v>
      </c>
      <c r="C2" s="28" t="s">
        <v>895</v>
      </c>
      <c r="D2" s="28" t="s">
        <v>896</v>
      </c>
      <c r="E2" s="28" t="s">
        <v>897</v>
      </c>
      <c r="F2" s="30"/>
      <c r="G2" s="28" t="s">
        <v>898</v>
      </c>
      <c r="H2" s="28" t="s">
        <v>899</v>
      </c>
      <c r="I2" s="29">
        <v>1</v>
      </c>
      <c r="J2" s="30">
        <v>2</v>
      </c>
      <c r="K2" s="28" t="s">
        <v>898</v>
      </c>
      <c r="L2" s="28" t="s">
        <v>900</v>
      </c>
      <c r="M2" s="28"/>
      <c r="N2" s="28"/>
      <c r="O2" s="28"/>
      <c r="P2" s="28"/>
    </row>
    <row r="3" spans="1:17" x14ac:dyDescent="0.25">
      <c r="A3" s="28" t="s">
        <v>901</v>
      </c>
      <c r="B3" s="28" t="s">
        <v>415</v>
      </c>
      <c r="C3" s="28" t="s">
        <v>895</v>
      </c>
      <c r="D3" s="28" t="s">
        <v>902</v>
      </c>
      <c r="E3" s="28" t="s">
        <v>903</v>
      </c>
      <c r="F3" s="30"/>
      <c r="G3" s="28" t="s">
        <v>898</v>
      </c>
      <c r="H3" s="28" t="s">
        <v>904</v>
      </c>
      <c r="I3" s="29">
        <v>1</v>
      </c>
      <c r="J3" s="30">
        <v>4</v>
      </c>
      <c r="K3" s="28" t="s">
        <v>898</v>
      </c>
      <c r="L3" s="28" t="s">
        <v>905</v>
      </c>
      <c r="M3" s="28"/>
      <c r="N3" s="28"/>
      <c r="O3" s="28" t="s">
        <v>13</v>
      </c>
      <c r="P3" s="28"/>
    </row>
    <row r="4" spans="1:17" x14ac:dyDescent="0.25">
      <c r="A4" s="28" t="s">
        <v>901</v>
      </c>
      <c r="B4" s="28" t="s">
        <v>417</v>
      </c>
      <c r="C4" s="28" t="s">
        <v>895</v>
      </c>
      <c r="D4" s="28" t="s">
        <v>902</v>
      </c>
      <c r="E4" s="28" t="s">
        <v>906</v>
      </c>
      <c r="F4" s="30"/>
      <c r="G4" s="28" t="s">
        <v>898</v>
      </c>
      <c r="H4" s="28" t="s">
        <v>904</v>
      </c>
      <c r="I4" s="29">
        <v>1</v>
      </c>
      <c r="J4" s="30">
        <v>0.8</v>
      </c>
      <c r="K4" s="28" t="s">
        <v>898</v>
      </c>
      <c r="L4" s="28" t="s">
        <v>907</v>
      </c>
      <c r="M4" s="28"/>
      <c r="N4" s="28"/>
      <c r="O4" s="28" t="s">
        <v>13</v>
      </c>
      <c r="P4" s="28"/>
    </row>
    <row r="5" spans="1:17" x14ac:dyDescent="0.25">
      <c r="A5" s="28" t="s">
        <v>908</v>
      </c>
      <c r="B5" s="28" t="s">
        <v>415</v>
      </c>
      <c r="C5" s="28" t="s">
        <v>895</v>
      </c>
      <c r="D5" s="28" t="s">
        <v>909</v>
      </c>
      <c r="E5" s="28" t="s">
        <v>870</v>
      </c>
      <c r="F5" s="30"/>
      <c r="G5" s="28" t="s">
        <v>898</v>
      </c>
      <c r="H5" s="28" t="s">
        <v>910</v>
      </c>
      <c r="I5" s="29">
        <v>1</v>
      </c>
      <c r="J5" s="30">
        <v>3</v>
      </c>
      <c r="K5" s="28" t="s">
        <v>898</v>
      </c>
      <c r="L5" s="28" t="s">
        <v>911</v>
      </c>
      <c r="M5" s="28"/>
      <c r="N5" s="28" t="s">
        <v>14</v>
      </c>
      <c r="O5" s="28"/>
      <c r="P5" s="28"/>
    </row>
    <row r="6" spans="1:17" x14ac:dyDescent="0.25">
      <c r="A6" s="28" t="s">
        <v>912</v>
      </c>
      <c r="B6" s="28" t="s">
        <v>415</v>
      </c>
      <c r="C6" s="28" t="s">
        <v>895</v>
      </c>
      <c r="D6" s="28" t="s">
        <v>913</v>
      </c>
      <c r="E6" s="28" t="s">
        <v>914</v>
      </c>
      <c r="F6" s="30"/>
      <c r="G6" s="28" t="s">
        <v>898</v>
      </c>
      <c r="H6" s="28" t="s">
        <v>915</v>
      </c>
      <c r="I6" s="29">
        <v>1</v>
      </c>
      <c r="J6" s="30">
        <v>1</v>
      </c>
      <c r="K6" s="28" t="s">
        <v>898</v>
      </c>
      <c r="L6" s="28" t="s">
        <v>916</v>
      </c>
      <c r="M6" s="28"/>
      <c r="N6" s="28"/>
      <c r="O6" s="28"/>
      <c r="P6" s="28" t="s">
        <v>948</v>
      </c>
    </row>
    <row r="7" spans="1:17" x14ac:dyDescent="0.25">
      <c r="A7" s="28" t="s">
        <v>912</v>
      </c>
      <c r="B7" s="28" t="s">
        <v>417</v>
      </c>
      <c r="C7" s="28" t="s">
        <v>895</v>
      </c>
      <c r="D7" s="28" t="s">
        <v>913</v>
      </c>
      <c r="E7" s="28" t="s">
        <v>917</v>
      </c>
      <c r="F7" s="30"/>
      <c r="G7" s="28" t="s">
        <v>898</v>
      </c>
      <c r="H7" s="28" t="s">
        <v>915</v>
      </c>
      <c r="I7" s="29">
        <v>1</v>
      </c>
      <c r="J7" s="30">
        <v>1</v>
      </c>
      <c r="K7" s="28" t="s">
        <v>898</v>
      </c>
      <c r="L7" s="28" t="s">
        <v>918</v>
      </c>
      <c r="M7" s="28"/>
      <c r="N7" s="28"/>
      <c r="O7" s="28"/>
      <c r="P7" s="28"/>
    </row>
    <row r="8" spans="1:17" x14ac:dyDescent="0.25">
      <c r="A8" s="28" t="s">
        <v>912</v>
      </c>
      <c r="B8" s="28" t="s">
        <v>433</v>
      </c>
      <c r="C8" s="28" t="s">
        <v>895</v>
      </c>
      <c r="D8" s="28" t="s">
        <v>913</v>
      </c>
      <c r="E8" s="28" t="s">
        <v>917</v>
      </c>
      <c r="F8" s="30"/>
      <c r="G8" s="28" t="s">
        <v>898</v>
      </c>
      <c r="H8" s="28" t="s">
        <v>915</v>
      </c>
      <c r="I8" s="29">
        <v>1</v>
      </c>
      <c r="J8" s="30">
        <v>1</v>
      </c>
      <c r="K8" s="28" t="s">
        <v>898</v>
      </c>
      <c r="L8" s="28" t="s">
        <v>919</v>
      </c>
      <c r="M8" s="28"/>
      <c r="N8" s="28"/>
      <c r="O8" s="28"/>
      <c r="P8" s="28"/>
    </row>
    <row r="9" spans="1:17" x14ac:dyDescent="0.25">
      <c r="A9" s="28" t="s">
        <v>912</v>
      </c>
      <c r="B9" s="28" t="s">
        <v>715</v>
      </c>
      <c r="C9" s="28" t="s">
        <v>895</v>
      </c>
      <c r="D9" s="28" t="s">
        <v>913</v>
      </c>
      <c r="E9" s="28" t="s">
        <v>920</v>
      </c>
      <c r="F9" s="30"/>
      <c r="G9" s="28" t="s">
        <v>898</v>
      </c>
      <c r="H9" s="28" t="s">
        <v>915</v>
      </c>
      <c r="I9" s="29">
        <v>1</v>
      </c>
      <c r="J9" s="30">
        <v>1</v>
      </c>
      <c r="K9" s="28" t="s">
        <v>898</v>
      </c>
      <c r="L9" s="28" t="s">
        <v>921</v>
      </c>
      <c r="M9" s="28"/>
      <c r="N9" s="28"/>
      <c r="O9" s="28"/>
      <c r="P9" s="28"/>
    </row>
    <row r="10" spans="1:17" x14ac:dyDescent="0.25">
      <c r="A10" s="28" t="s">
        <v>922</v>
      </c>
      <c r="B10" s="28" t="s">
        <v>415</v>
      </c>
      <c r="C10" s="28" t="s">
        <v>895</v>
      </c>
      <c r="D10" s="28" t="s">
        <v>923</v>
      </c>
      <c r="E10" s="28" t="s">
        <v>924</v>
      </c>
      <c r="F10" s="30"/>
      <c r="G10" s="28" t="s">
        <v>898</v>
      </c>
      <c r="H10" s="28" t="s">
        <v>925</v>
      </c>
      <c r="I10" s="29">
        <v>1</v>
      </c>
      <c r="J10" s="30">
        <v>6</v>
      </c>
      <c r="K10" s="28" t="s">
        <v>898</v>
      </c>
      <c r="L10" s="28" t="s">
        <v>926</v>
      </c>
      <c r="M10" s="28"/>
      <c r="N10" s="28"/>
      <c r="O10" s="28"/>
      <c r="P10" s="28"/>
    </row>
    <row r="11" spans="1:17" x14ac:dyDescent="0.25">
      <c r="A11" s="28" t="s">
        <v>927</v>
      </c>
      <c r="B11" s="28" t="s">
        <v>415</v>
      </c>
      <c r="C11" s="28" t="s">
        <v>895</v>
      </c>
      <c r="D11" s="28" t="s">
        <v>928</v>
      </c>
      <c r="E11" s="28" t="s">
        <v>929</v>
      </c>
      <c r="F11" s="30"/>
      <c r="G11" s="28" t="s">
        <v>898</v>
      </c>
      <c r="H11" s="28" t="s">
        <v>930</v>
      </c>
      <c r="I11" s="29">
        <v>1</v>
      </c>
      <c r="J11" s="30">
        <v>2</v>
      </c>
      <c r="K11" s="28" t="s">
        <v>898</v>
      </c>
      <c r="L11" s="28" t="s">
        <v>931</v>
      </c>
      <c r="M11" s="28" t="s">
        <v>932</v>
      </c>
      <c r="N11" s="28"/>
      <c r="O11" s="28"/>
      <c r="P11" s="2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EC19-B9B7-4724-A39E-AD63ECF03212}">
  <dimension ref="A1:M64"/>
  <sheetViews>
    <sheetView workbookViewId="0">
      <selection activeCell="E28" sqref="E28"/>
    </sheetView>
  </sheetViews>
  <sheetFormatPr defaultRowHeight="15.75" x14ac:dyDescent="0.25"/>
  <cols>
    <col min="1" max="1" width="4.28515625" style="31" customWidth="1"/>
    <col min="3" max="3" width="49.42578125" customWidth="1"/>
    <col min="4" max="4" width="87" customWidth="1"/>
    <col min="5" max="5" width="68.7109375" customWidth="1"/>
    <col min="6" max="11" width="26.28515625" customWidth="1"/>
  </cols>
  <sheetData>
    <row r="1" spans="1:13" x14ac:dyDescent="0.25">
      <c r="A1" s="31" t="s">
        <v>951</v>
      </c>
    </row>
    <row r="2" spans="1:13" x14ac:dyDescent="0.25">
      <c r="A2" s="31" t="s">
        <v>952</v>
      </c>
    </row>
    <row r="3" spans="1:13" x14ac:dyDescent="0.25">
      <c r="B3" s="32">
        <v>1</v>
      </c>
      <c r="C3" s="33" t="s">
        <v>953</v>
      </c>
      <c r="D3" s="33" t="s">
        <v>954</v>
      </c>
      <c r="E3" s="33" t="s">
        <v>955</v>
      </c>
      <c r="K3" s="34"/>
      <c r="L3" s="34"/>
      <c r="M3" s="34"/>
    </row>
    <row r="4" spans="1:13" x14ac:dyDescent="0.25">
      <c r="B4" s="32">
        <v>2</v>
      </c>
      <c r="C4" s="33" t="s">
        <v>956</v>
      </c>
      <c r="D4" s="33" t="s">
        <v>957</v>
      </c>
      <c r="E4" s="33" t="s">
        <v>958</v>
      </c>
      <c r="K4" s="35"/>
      <c r="L4" s="35"/>
      <c r="M4" s="35"/>
    </row>
    <row r="5" spans="1:13" x14ac:dyDescent="0.25">
      <c r="B5" s="32">
        <v>3</v>
      </c>
      <c r="C5" s="33" t="s">
        <v>959</v>
      </c>
      <c r="D5" s="33" t="s">
        <v>960</v>
      </c>
      <c r="E5" s="33" t="s">
        <v>961</v>
      </c>
    </row>
    <row r="6" spans="1:13" x14ac:dyDescent="0.25">
      <c r="B6" s="32">
        <v>4</v>
      </c>
      <c r="C6" s="33" t="s">
        <v>962</v>
      </c>
      <c r="D6" s="33" t="s">
        <v>963</v>
      </c>
      <c r="E6" s="33" t="s">
        <v>964</v>
      </c>
    </row>
    <row r="7" spans="1:13" x14ac:dyDescent="0.25">
      <c r="B7" s="32">
        <v>5</v>
      </c>
      <c r="C7" s="33" t="s">
        <v>965</v>
      </c>
      <c r="D7" s="33" t="s">
        <v>966</v>
      </c>
      <c r="E7" s="33" t="s">
        <v>967</v>
      </c>
    </row>
    <row r="8" spans="1:13" x14ac:dyDescent="0.25">
      <c r="B8" s="36"/>
      <c r="C8" s="36"/>
      <c r="D8" s="36"/>
      <c r="E8" s="36"/>
    </row>
    <row r="9" spans="1:13" x14ac:dyDescent="0.25">
      <c r="A9" s="31" t="s">
        <v>968</v>
      </c>
      <c r="B9" s="36"/>
      <c r="C9" s="36"/>
      <c r="D9" s="37" t="s">
        <v>969</v>
      </c>
      <c r="E9" s="37" t="s">
        <v>158</v>
      </c>
    </row>
    <row r="10" spans="1:13" x14ac:dyDescent="0.25">
      <c r="B10" s="32">
        <v>1</v>
      </c>
      <c r="C10" s="38" t="s">
        <v>970</v>
      </c>
      <c r="D10" s="33" t="s">
        <v>971</v>
      </c>
      <c r="E10" s="39" t="s">
        <v>972</v>
      </c>
    </row>
    <row r="11" spans="1:13" x14ac:dyDescent="0.25">
      <c r="B11" s="32">
        <v>2</v>
      </c>
      <c r="C11" s="38" t="s">
        <v>973</v>
      </c>
      <c r="D11" s="33" t="s">
        <v>974</v>
      </c>
      <c r="E11" s="39" t="s">
        <v>975</v>
      </c>
    </row>
    <row r="12" spans="1:13" x14ac:dyDescent="0.25">
      <c r="B12" s="32">
        <v>3</v>
      </c>
      <c r="C12" s="38" t="s">
        <v>976</v>
      </c>
      <c r="D12" s="33" t="s">
        <v>977</v>
      </c>
      <c r="E12" s="39" t="s">
        <v>978</v>
      </c>
    </row>
    <row r="13" spans="1:13" x14ac:dyDescent="0.25">
      <c r="B13" s="32">
        <v>4</v>
      </c>
      <c r="C13" s="38" t="s">
        <v>979</v>
      </c>
      <c r="D13" s="33" t="s">
        <v>980</v>
      </c>
      <c r="E13" s="39" t="s">
        <v>981</v>
      </c>
    </row>
    <row r="14" spans="1:13" x14ac:dyDescent="0.25">
      <c r="B14" s="32">
        <v>5</v>
      </c>
      <c r="C14" s="38" t="s">
        <v>982</v>
      </c>
      <c r="D14" s="33" t="s">
        <v>983</v>
      </c>
      <c r="E14" s="39" t="s">
        <v>984</v>
      </c>
    </row>
    <row r="15" spans="1:13" x14ac:dyDescent="0.25">
      <c r="B15" s="36"/>
      <c r="C15" s="36"/>
      <c r="D15" s="36"/>
      <c r="E15" s="36"/>
    </row>
    <row r="16" spans="1:13" x14ac:dyDescent="0.25">
      <c r="A16" s="31" t="s">
        <v>985</v>
      </c>
      <c r="B16" s="36"/>
      <c r="C16" s="36"/>
      <c r="D16" s="36"/>
      <c r="E16" s="36"/>
    </row>
    <row r="17" spans="1:5" x14ac:dyDescent="0.25">
      <c r="B17" s="32">
        <v>1</v>
      </c>
      <c r="C17" s="40" t="s">
        <v>986</v>
      </c>
      <c r="D17" s="39" t="s">
        <v>987</v>
      </c>
      <c r="E17" s="36"/>
    </row>
    <row r="18" spans="1:5" x14ac:dyDescent="0.25">
      <c r="B18" s="32">
        <v>2</v>
      </c>
      <c r="C18" s="40" t="s">
        <v>988</v>
      </c>
      <c r="D18" s="39" t="s">
        <v>989</v>
      </c>
      <c r="E18" s="36"/>
    </row>
    <row r="19" spans="1:5" x14ac:dyDescent="0.25">
      <c r="B19" s="32">
        <v>3</v>
      </c>
      <c r="C19" s="40" t="s">
        <v>990</v>
      </c>
      <c r="D19" s="39" t="s">
        <v>991</v>
      </c>
      <c r="E19" s="36"/>
    </row>
    <row r="20" spans="1:5" x14ac:dyDescent="0.25">
      <c r="B20" s="32">
        <v>4</v>
      </c>
      <c r="C20" s="40" t="s">
        <v>992</v>
      </c>
      <c r="D20" s="39" t="s">
        <v>993</v>
      </c>
      <c r="E20" s="36"/>
    </row>
    <row r="21" spans="1:5" x14ac:dyDescent="0.25">
      <c r="B21" s="32">
        <v>5</v>
      </c>
      <c r="C21" s="40" t="s">
        <v>994</v>
      </c>
      <c r="D21" s="39" t="s">
        <v>995</v>
      </c>
      <c r="E21" s="36"/>
    </row>
    <row r="23" spans="1:5" x14ac:dyDescent="0.25">
      <c r="A23" s="31" t="s">
        <v>996</v>
      </c>
    </row>
    <row r="24" spans="1:5" x14ac:dyDescent="0.25">
      <c r="B24" s="41" t="s">
        <v>997</v>
      </c>
      <c r="C24" s="42" t="s">
        <v>998</v>
      </c>
      <c r="D24" s="42" t="s">
        <v>162</v>
      </c>
    </row>
    <row r="25" spans="1:5" x14ac:dyDescent="0.25">
      <c r="B25" s="41" t="s">
        <v>999</v>
      </c>
      <c r="C25" s="42" t="s">
        <v>998</v>
      </c>
      <c r="D25" s="42" t="s">
        <v>1000</v>
      </c>
    </row>
    <row r="26" spans="1:5" x14ac:dyDescent="0.25">
      <c r="B26" s="41" t="s">
        <v>1001</v>
      </c>
      <c r="C26" s="42" t="s">
        <v>998</v>
      </c>
      <c r="D26" s="42" t="s">
        <v>208</v>
      </c>
    </row>
    <row r="27" spans="1:5" x14ac:dyDescent="0.25">
      <c r="B27" s="41" t="s">
        <v>1002</v>
      </c>
      <c r="C27" s="42" t="s">
        <v>1003</v>
      </c>
      <c r="D27" s="42" t="s">
        <v>1004</v>
      </c>
    </row>
    <row r="28" spans="1:5" x14ac:dyDescent="0.25">
      <c r="B28" s="41" t="s">
        <v>1005</v>
      </c>
      <c r="C28" s="42" t="s">
        <v>1003</v>
      </c>
      <c r="D28" s="42" t="s">
        <v>176</v>
      </c>
    </row>
    <row r="29" spans="1:5" x14ac:dyDescent="0.25">
      <c r="B29" s="41" t="s">
        <v>1006</v>
      </c>
      <c r="C29" s="42" t="s">
        <v>1003</v>
      </c>
      <c r="D29" s="42" t="s">
        <v>1007</v>
      </c>
    </row>
    <row r="30" spans="1:5" x14ac:dyDescent="0.25">
      <c r="B30" s="41" t="s">
        <v>1008</v>
      </c>
      <c r="C30" s="42" t="s">
        <v>1003</v>
      </c>
      <c r="D30" s="42" t="s">
        <v>201</v>
      </c>
    </row>
    <row r="31" spans="1:5" x14ac:dyDescent="0.25">
      <c r="B31" s="41" t="s">
        <v>1009</v>
      </c>
      <c r="C31" s="42" t="s">
        <v>1003</v>
      </c>
      <c r="D31" s="42" t="s">
        <v>1010</v>
      </c>
    </row>
    <row r="32" spans="1:5" x14ac:dyDescent="0.25">
      <c r="B32" s="41" t="s">
        <v>1011</v>
      </c>
      <c r="C32" s="42" t="s">
        <v>1003</v>
      </c>
      <c r="D32" s="42" t="s">
        <v>1012</v>
      </c>
    </row>
    <row r="33" spans="1:4" x14ac:dyDescent="0.25">
      <c r="B33" s="41" t="s">
        <v>1013</v>
      </c>
      <c r="C33" s="42" t="s">
        <v>1003</v>
      </c>
      <c r="D33" s="42" t="s">
        <v>1014</v>
      </c>
    </row>
    <row r="34" spans="1:4" x14ac:dyDescent="0.25">
      <c r="B34" s="41" t="s">
        <v>1015</v>
      </c>
      <c r="C34" s="42" t="s">
        <v>1016</v>
      </c>
      <c r="D34" s="42" t="s">
        <v>1017</v>
      </c>
    </row>
    <row r="35" spans="1:4" x14ac:dyDescent="0.25">
      <c r="B35" s="41" t="s">
        <v>1018</v>
      </c>
      <c r="C35" s="42" t="s">
        <v>1016</v>
      </c>
      <c r="D35" s="42" t="s">
        <v>1019</v>
      </c>
    </row>
    <row r="36" spans="1:4" x14ac:dyDescent="0.25">
      <c r="B36" s="41" t="s">
        <v>1020</v>
      </c>
      <c r="C36" s="42" t="s">
        <v>1016</v>
      </c>
      <c r="D36" s="42" t="s">
        <v>1021</v>
      </c>
    </row>
    <row r="37" spans="1:4" x14ac:dyDescent="0.25">
      <c r="B37" s="41" t="s">
        <v>1022</v>
      </c>
      <c r="C37" s="42" t="s">
        <v>1023</v>
      </c>
      <c r="D37" s="42" t="s">
        <v>1024</v>
      </c>
    </row>
    <row r="38" spans="1:4" x14ac:dyDescent="0.25">
      <c r="B38" s="41" t="s">
        <v>1025</v>
      </c>
      <c r="C38" s="42" t="s">
        <v>1023</v>
      </c>
      <c r="D38" s="42" t="s">
        <v>1026</v>
      </c>
    </row>
    <row r="39" spans="1:4" x14ac:dyDescent="0.25">
      <c r="B39" s="41" t="s">
        <v>1027</v>
      </c>
      <c r="C39" s="42" t="s">
        <v>1023</v>
      </c>
      <c r="D39" s="42" t="s">
        <v>1028</v>
      </c>
    </row>
    <row r="40" spans="1:4" x14ac:dyDescent="0.25">
      <c r="B40" s="41" t="s">
        <v>1029</v>
      </c>
      <c r="C40" s="42" t="s">
        <v>1023</v>
      </c>
      <c r="D40" s="42" t="s">
        <v>190</v>
      </c>
    </row>
    <row r="41" spans="1:4" x14ac:dyDescent="0.25">
      <c r="B41" s="41" t="s">
        <v>1030</v>
      </c>
      <c r="C41" s="42" t="s">
        <v>1023</v>
      </c>
      <c r="D41" s="42" t="s">
        <v>1031</v>
      </c>
    </row>
    <row r="42" spans="1:4" x14ac:dyDescent="0.25">
      <c r="B42" s="41" t="s">
        <v>1032</v>
      </c>
      <c r="C42" s="42" t="s">
        <v>1023</v>
      </c>
      <c r="D42" s="42" t="s">
        <v>1033</v>
      </c>
    </row>
    <row r="43" spans="1:4" x14ac:dyDescent="0.25">
      <c r="B43" s="41" t="s">
        <v>1034</v>
      </c>
      <c r="C43" s="42" t="s">
        <v>1035</v>
      </c>
      <c r="D43" s="42" t="s">
        <v>1036</v>
      </c>
    </row>
    <row r="44" spans="1:4" x14ac:dyDescent="0.25">
      <c r="B44" s="41" t="s">
        <v>1037</v>
      </c>
      <c r="C44" s="42" t="s">
        <v>1035</v>
      </c>
      <c r="D44" s="42" t="s">
        <v>1038</v>
      </c>
    </row>
    <row r="45" spans="1:4" x14ac:dyDescent="0.25">
      <c r="B45" s="41" t="s">
        <v>1039</v>
      </c>
      <c r="C45" s="42" t="s">
        <v>1035</v>
      </c>
      <c r="D45" s="42" t="s">
        <v>1040</v>
      </c>
    </row>
    <row r="47" spans="1:4" x14ac:dyDescent="0.25">
      <c r="A47" s="31" t="s">
        <v>141</v>
      </c>
    </row>
    <row r="48" spans="1:4" x14ac:dyDescent="0.25">
      <c r="B48" s="41"/>
      <c r="C48" s="42" t="s">
        <v>1041</v>
      </c>
      <c r="D48" s="42"/>
    </row>
    <row r="49" spans="1:4" x14ac:dyDescent="0.25">
      <c r="B49" s="41"/>
      <c r="C49" s="42" t="s">
        <v>1042</v>
      </c>
      <c r="D49" s="42"/>
    </row>
    <row r="50" spans="1:4" x14ac:dyDescent="0.25">
      <c r="B50" s="41"/>
      <c r="C50" s="42" t="s">
        <v>1043</v>
      </c>
      <c r="D50" s="42"/>
    </row>
    <row r="51" spans="1:4" x14ac:dyDescent="0.25">
      <c r="B51" s="41"/>
      <c r="C51" s="42" t="s">
        <v>1044</v>
      </c>
      <c r="D51" s="42"/>
    </row>
    <row r="52" spans="1:4" x14ac:dyDescent="0.25">
      <c r="B52" s="41"/>
      <c r="C52" s="42" t="s">
        <v>1045</v>
      </c>
      <c r="D52" s="42"/>
    </row>
    <row r="53" spans="1:4" x14ac:dyDescent="0.25">
      <c r="B53" s="41"/>
      <c r="C53" s="42" t="s">
        <v>1046</v>
      </c>
      <c r="D53" s="42"/>
    </row>
    <row r="54" spans="1:4" x14ac:dyDescent="0.25">
      <c r="B54" s="41"/>
      <c r="C54" s="42" t="s">
        <v>1047</v>
      </c>
      <c r="D54" s="42"/>
    </row>
    <row r="55" spans="1:4" x14ac:dyDescent="0.25">
      <c r="B55" s="41"/>
      <c r="C55" s="42" t="s">
        <v>1048</v>
      </c>
      <c r="D55" s="42"/>
    </row>
    <row r="56" spans="1:4" x14ac:dyDescent="0.25">
      <c r="B56" s="41"/>
      <c r="C56" s="42" t="s">
        <v>1049</v>
      </c>
      <c r="D56" s="42"/>
    </row>
    <row r="57" spans="1:4" x14ac:dyDescent="0.25">
      <c r="B57" s="41"/>
      <c r="C57" s="42" t="s">
        <v>1050</v>
      </c>
      <c r="D57" s="42"/>
    </row>
    <row r="59" spans="1:4" x14ac:dyDescent="0.25">
      <c r="A59" s="31" t="s">
        <v>1051</v>
      </c>
    </row>
    <row r="60" spans="1:4" x14ac:dyDescent="0.25">
      <c r="B60" s="41"/>
      <c r="C60" s="42" t="s">
        <v>1052</v>
      </c>
    </row>
    <row r="61" spans="1:4" x14ac:dyDescent="0.25">
      <c r="B61" s="41"/>
      <c r="C61" s="42" t="s">
        <v>1053</v>
      </c>
    </row>
    <row r="62" spans="1:4" x14ac:dyDescent="0.25">
      <c r="B62" s="41"/>
      <c r="C62" s="42" t="s">
        <v>1054</v>
      </c>
    </row>
    <row r="63" spans="1:4" x14ac:dyDescent="0.25">
      <c r="B63" s="41"/>
      <c r="C63" s="42" t="s">
        <v>1055</v>
      </c>
    </row>
    <row r="64" spans="1:4" x14ac:dyDescent="0.25">
      <c r="B64" s="41"/>
      <c r="C64" s="42"/>
    </row>
  </sheetData>
  <conditionalFormatting sqref="B3:B7">
    <cfRule type="colorScale" priority="3">
      <colorScale>
        <cfvo type="min"/>
        <cfvo type="percentile" val="50"/>
        <cfvo type="max"/>
        <color rgb="FFF8696B"/>
        <color rgb="FFFFEB84"/>
        <color rgb="FF63BE7B"/>
      </colorScale>
    </cfRule>
  </conditionalFormatting>
  <conditionalFormatting sqref="B10:B14">
    <cfRule type="colorScale" priority="2">
      <colorScale>
        <cfvo type="min"/>
        <cfvo type="percentile" val="50"/>
        <cfvo type="max"/>
        <color rgb="FFF8696B"/>
        <color rgb="FFFFEB84"/>
        <color rgb="FF63BE7B"/>
      </colorScale>
    </cfRule>
  </conditionalFormatting>
  <conditionalFormatting sqref="B17:B2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criticality</vt:lpstr>
      <vt:lpstr>Criticality Matrix</vt:lpstr>
      <vt:lpstr>hierarchy</vt:lpstr>
      <vt:lpstr>FMEA</vt:lpstr>
      <vt:lpstr>Task Header</vt:lpstr>
      <vt:lpstr>Task Operations</vt:lpstr>
      <vt:lpstr>FMEA RPN Scoring and 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Jakob Verhoef</dc:creator>
  <cp:lastModifiedBy>Jakob Verhoef</cp:lastModifiedBy>
  <dcterms:created xsi:type="dcterms:W3CDTF">2026-03-30T11:06:51Z</dcterms:created>
  <dcterms:modified xsi:type="dcterms:W3CDTF">2026-03-30T12:28:42Z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008b6ac-6cd7-45b0-b59f-743145fa4a0c_Enabled">
    <vt:lpwstr>true</vt:lpwstr>
  </property>
  <property fmtid="{D5CDD505-2E9C-101B-9397-08002B2CF9AE}" pid="3" name="MSIP_Label_e008b6ac-6cd7-45b0-b59f-743145fa4a0c_SetDate">
    <vt:lpwstr>2026-03-30T11:42:26Z</vt:lpwstr>
  </property>
  <property fmtid="{D5CDD505-2E9C-101B-9397-08002B2CF9AE}" pid="4" name="MSIP_Label_e008b6ac-6cd7-45b0-b59f-743145fa4a0c_Method">
    <vt:lpwstr>Standard</vt:lpwstr>
  </property>
  <property fmtid="{D5CDD505-2E9C-101B-9397-08002B2CF9AE}" pid="5" name="MSIP_Label_e008b6ac-6cd7-45b0-b59f-743145fa4a0c_Name">
    <vt:lpwstr>Internal_v1</vt:lpwstr>
  </property>
  <property fmtid="{D5CDD505-2E9C-101B-9397-08002B2CF9AE}" pid="6" name="MSIP_Label_e008b6ac-6cd7-45b0-b59f-743145fa4a0c_SiteId">
    <vt:lpwstr>661f9602-8cfa-44ea-8e8a-fdfce3628c27</vt:lpwstr>
  </property>
  <property fmtid="{D5CDD505-2E9C-101B-9397-08002B2CF9AE}" pid="7" name="MSIP_Label_e008b6ac-6cd7-45b0-b59f-743145fa4a0c_ActionId">
    <vt:lpwstr>e4d298fb-e057-4ed2-9eb6-6c2490390a9f</vt:lpwstr>
  </property>
  <property fmtid="{D5CDD505-2E9C-101B-9397-08002B2CF9AE}" pid="8" name="MSIP_Label_e008b6ac-6cd7-45b0-b59f-743145fa4a0c_ContentBits">
    <vt:lpwstr>0</vt:lpwstr>
  </property>
  <property fmtid="{D5CDD505-2E9C-101B-9397-08002B2CF9AE}" pid="9" name="MSIP_Label_e008b6ac-6cd7-45b0-b59f-743145fa4a0c_Tag">
    <vt:lpwstr>10, 3, 0, 1</vt:lpwstr>
  </property>
</Properties>
</file>